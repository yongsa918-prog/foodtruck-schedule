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월" sheetId="1" r:id="rId5"/>
    <sheet state="visible" name="2월" sheetId="2" r:id="rId6"/>
    <sheet state="visible" name="3월" sheetId="3" r:id="rId7"/>
    <sheet state="visible" name="4월" sheetId="4" r:id="rId8"/>
    <sheet state="visible" name="5월" sheetId="5" r:id="rId9"/>
    <sheet state="visible" name="6월" sheetId="6" r:id="rId10"/>
    <sheet state="visible" name="7월" sheetId="7" r:id="rId11"/>
    <sheet state="visible" name="8월" sheetId="8" r:id="rId12"/>
    <sheet state="visible" name="9월" sheetId="9" r:id="rId13"/>
    <sheet state="visible" name="10월" sheetId="10" r:id="rId14"/>
    <sheet state="visible" name="11월" sheetId="11" r:id="rId15"/>
    <sheet state="visible" name="12월" sheetId="12" r:id="rId16"/>
  </sheets>
  <definedNames>
    <definedName name="열제목영역1..H12.7">'7월'!$B$2</definedName>
    <definedName name="주시작">'1월'!$K$3</definedName>
    <definedName name="열제목영역1..H12.9">'9월'!$B$2</definedName>
    <definedName name="열제목영역2..C14.1">'1월'!$B$2</definedName>
    <definedName name="열제목영역1..H12.8">'8월'!$B$2</definedName>
    <definedName name="열제목영역1..H12.4">'4월'!$B$2</definedName>
    <definedName name="열제목영역2..C14.4">'4월'!$B$2</definedName>
    <definedName name="열제목영역1..H12.2">'2월'!$B$2</definedName>
    <definedName name="열제목영역2..C14.11">'11월'!$B$2</definedName>
    <definedName name="열제목영역2..C14.12">'12월'!$B$2</definedName>
    <definedName name="열제목영역1..H12.12">'12월'!$B$2</definedName>
    <definedName name="열제목영역1..H12.11">'11월'!$B$2</definedName>
    <definedName name="열제목영역2..C14.2">'2월'!$B$2</definedName>
    <definedName name="열제목영역2..C14.5">'5월'!$B$2</definedName>
    <definedName name="열제목영역1..H12.10">'10월'!$B$2</definedName>
    <definedName name="열제목영역1..H12.1">'1월'!$B$2</definedName>
    <definedName name="열제목영역1..H12.3">'3월'!$B$2</definedName>
    <definedName name="열제목영역2..C14.9">'9월'!$B$2</definedName>
    <definedName name="열제목영역2..C14.6">'6월'!$B$2</definedName>
    <definedName name="열제목영역1..H12.5">'5월'!$B$2</definedName>
    <definedName name="열제목영역2..C14.3">'3월'!$B$2</definedName>
    <definedName name="열제목영역1..H12.6">'6월'!$B$2</definedName>
    <definedName name="열제목영역2..C14.10">'10월'!$B$2</definedName>
    <definedName name="열제목영역2..C14.8">'8월'!$B$2</definedName>
    <definedName name="열제목영역2..C14.7">'7월'!$B$2</definedName>
    <definedName name="달력연도">'1월'!$K$2</definedName>
  </definedNames>
  <calcPr/>
</workbook>
</file>

<file path=xl/sharedStrings.xml><?xml version="1.0" encoding="utf-8"?>
<sst xmlns="http://schemas.openxmlformats.org/spreadsheetml/2006/main" count="123" uniqueCount="80">
  <si>
    <t>달력 설정</t>
  </si>
  <si>
    <t>연도</t>
  </si>
  <si>
    <t>주 시작</t>
  </si>
  <si>
    <t>일요일</t>
  </si>
  <si>
    <t>메모</t>
  </si>
  <si>
    <t>Big Picnic (10-4:30)
- David Lam Park-</t>
  </si>
  <si>
    <t>UBC Festival (11-7)</t>
  </si>
  <si>
    <t>Pittmeadow Spot (11-6)</t>
  </si>
  <si>
    <t xml:space="preserve">Food Truck War (3-9) - Cloverdale Exhibition - 
</t>
  </si>
  <si>
    <t xml:space="preserve">Food Truck War (11-9) - Cloverdale Exhibition - 
</t>
  </si>
  <si>
    <t xml:space="preserve">Food Truck War (11-8) - Cloverdale Exhibition - 
</t>
  </si>
  <si>
    <t>YD Brewery (2-8)
- Port Moody-</t>
  </si>
  <si>
    <t>Truck Fire Inspection</t>
  </si>
  <si>
    <t>LapuLapu Day 
(Time TBD)
-Italian Culutral Center-</t>
  </si>
  <si>
    <t>Private Catering (11-1)
WYNFORD group</t>
  </si>
  <si>
    <t>Tatoo Show (4-10)
-Cloverdale Agriplex-</t>
  </si>
  <si>
    <t>Inlet Dragon Boat (8-4)
- Rokcy Point Park-</t>
  </si>
  <si>
    <t>Tatoo Show (10-6)
-Cloverdale Agriplex-</t>
  </si>
  <si>
    <t xml:space="preserve">YD Brewery (2-8)
</t>
  </si>
  <si>
    <t xml:space="preserve">Batch </t>
  </si>
  <si>
    <t>Batch</t>
  </si>
  <si>
    <t>Catering 
(Bibimbap, Deep fried chicken and Tender)</t>
  </si>
  <si>
    <t>UBC March
11-7</t>
  </si>
  <si>
    <r>
      <rPr>
        <rFont val="Batang"/>
        <color rgb="FFFF0000"/>
        <sz val="11.0"/>
      </rPr>
      <t xml:space="preserve">New West
Farmers Market
3-7
</t>
    </r>
    <r>
      <rPr>
        <rFont val="바탕"/>
        <color rgb="FF0070C0"/>
        <sz val="11.0"/>
      </rPr>
      <t>Private Catering 50</t>
    </r>
  </si>
  <si>
    <t>May-day
Fort Langley
11-7</t>
  </si>
  <si>
    <t>UBC Pop-up
11-7</t>
  </si>
  <si>
    <t>Hyack festival
11-5</t>
  </si>
  <si>
    <t>Private Catering - 90</t>
  </si>
  <si>
    <t>School Event 
Way Point</t>
  </si>
  <si>
    <t>Yellow Dog
2-8</t>
  </si>
  <si>
    <t>New West 
Farmers Market
3-7</t>
  </si>
  <si>
    <t>Multi Cultural 
Festival 
5-11</t>
  </si>
  <si>
    <r>
      <rPr>
        <rFont val="Batang"/>
        <color rgb="FF0070C0"/>
        <sz val="11.0"/>
      </rPr>
      <t xml:space="preserve">Multi Cultural  
Festival
5-11
</t>
    </r>
    <r>
      <rPr>
        <rFont val="바탕"/>
        <color rgb="FF00B050"/>
        <sz val="11.0"/>
      </rPr>
      <t>K-food Festival Booth</t>
    </r>
  </si>
  <si>
    <r>
      <rPr>
        <rFont val="Batang"/>
        <color rgb="FF0070C0"/>
        <sz val="11.0"/>
      </rPr>
      <t xml:space="preserve">
</t>
    </r>
    <r>
      <rPr>
        <rFont val="바탕"/>
        <color rgb="FF00B050"/>
        <sz val="11.0"/>
      </rPr>
      <t>K-Food Festival Booth</t>
    </r>
  </si>
  <si>
    <r>
      <rPr>
        <rFont val="Batang"/>
        <color rgb="FFFF0000"/>
        <sz val="11.0"/>
      </rPr>
      <t xml:space="preserve">FIFA FAN FEST
</t>
    </r>
    <r>
      <rPr>
        <rFont val="바탕"/>
        <color rgb="FF0070C0"/>
        <sz val="11.0"/>
      </rPr>
      <t>Granville Island FIFA</t>
    </r>
    <r>
      <rPr>
        <rFont val="바탕"/>
        <color rgb="FFFF0000"/>
        <sz val="11.0"/>
      </rPr>
      <t xml:space="preserve">
</t>
    </r>
  </si>
  <si>
    <r>
      <rPr>
        <rFont val="Batang"/>
        <color rgb="FFFF0000"/>
        <sz val="11.0"/>
      </rPr>
      <t xml:space="preserve">FIFA FAN FEST
</t>
    </r>
    <r>
      <rPr>
        <rFont val="바탕"/>
        <color rgb="FF0070C0"/>
        <sz val="11.0"/>
      </rPr>
      <t xml:space="preserve">Granville Island FIFA
</t>
    </r>
  </si>
  <si>
    <r>
      <rPr>
        <rFont val="Batang"/>
        <color rgb="FFFF0000"/>
        <sz val="11.0"/>
      </rPr>
      <t xml:space="preserve">FIFA FAN FEST
</t>
    </r>
    <r>
      <rPr>
        <rFont val="바탕"/>
        <color rgb="FF0070C0"/>
        <sz val="11.0"/>
      </rPr>
      <t xml:space="preserve">
</t>
    </r>
  </si>
  <si>
    <t xml:space="preserve">FIFA FAN FEST
</t>
  </si>
  <si>
    <t>FIFA FAN FEST</t>
  </si>
  <si>
    <r>
      <rPr>
        <rFont val="Batang"/>
        <color rgb="FFFF0000"/>
        <sz val="11.0"/>
      </rPr>
      <t xml:space="preserve">FIFA FAN FEST
</t>
    </r>
    <r>
      <rPr>
        <rFont val="바탕"/>
        <color rgb="FF0070C0"/>
        <sz val="11.0"/>
      </rPr>
      <t>Surrey Soccer Viewing</t>
    </r>
  </si>
  <si>
    <r>
      <rPr>
        <rFont val="Batang"/>
        <color rgb="FFFF0000"/>
        <sz val="11.0"/>
      </rPr>
      <t xml:space="preserve">FIFA FAN FEST
</t>
    </r>
    <r>
      <rPr>
        <rFont val="Arial"/>
        <color rgb="FF0070C0"/>
        <sz val="11.0"/>
      </rPr>
      <t>Macneill secondary school catering</t>
    </r>
  </si>
  <si>
    <r>
      <rPr>
        <rFont val="Batang"/>
        <color rgb="FFFF0000"/>
        <sz val="11.0"/>
      </rPr>
      <t xml:space="preserve">FIFA FAN FEST
</t>
    </r>
    <r>
      <rPr>
        <rFont val="바탕"/>
        <color rgb="FF0070C0"/>
        <sz val="11.0"/>
      </rPr>
      <t xml:space="preserve">Pinoy Festival </t>
    </r>
  </si>
  <si>
    <r>
      <rPr>
        <rFont val="Batang"/>
        <color rgb="FFFF0000"/>
        <sz val="11.0"/>
      </rPr>
      <t xml:space="preserve">FIFA FAN FEST
</t>
    </r>
    <r>
      <rPr>
        <rFont val="바탕"/>
        <color rgb="FF0070C0"/>
        <sz val="11.0"/>
      </rPr>
      <t>Pinoy Festival</t>
    </r>
  </si>
  <si>
    <r>
      <rPr>
        <rFont val="Batang"/>
        <color rgb="FFFF0000"/>
        <sz val="11.0"/>
      </rPr>
      <t xml:space="preserve">FIFA FAN FEST
</t>
    </r>
    <r>
      <rPr>
        <rFont val="바탕"/>
        <color rgb="FF0070C0"/>
        <sz val="11.0"/>
      </rPr>
      <t>Seaspan Shipyards - 2026 Food Truck Program</t>
    </r>
  </si>
  <si>
    <r>
      <rPr>
        <rFont val="Batang"/>
        <color rgb="FFFF0000"/>
        <sz val="11.0"/>
      </rPr>
      <t xml:space="preserve">FIFA FAN FEST
</t>
    </r>
    <r>
      <rPr>
        <rFont val="바탕"/>
        <color rgb="FF0070C0"/>
        <sz val="11.0"/>
      </rPr>
      <t>Private Catering - 170</t>
    </r>
  </si>
  <si>
    <r>
      <rPr>
        <rFont val="Batang"/>
        <color rgb="FFFF0000"/>
        <sz val="11.0"/>
      </rPr>
      <t xml:space="preserve">FIFA FAN FEST
</t>
    </r>
    <r>
      <rPr>
        <rFont val="바탕"/>
        <color rgb="FF0070C0"/>
        <sz val="11.0"/>
      </rPr>
      <t xml:space="preserve">
Golden Spike Days</t>
    </r>
  </si>
  <si>
    <r>
      <rPr>
        <rFont val="Batang"/>
        <color rgb="FFFF0000"/>
        <sz val="11.0"/>
      </rPr>
      <t xml:space="preserve">FIFA FAN FEST
</t>
    </r>
    <r>
      <rPr>
        <rFont val="바탕"/>
        <color rgb="FF0070C0"/>
        <sz val="11.0"/>
      </rPr>
      <t>Golden Spike Days</t>
    </r>
  </si>
  <si>
    <r>
      <rPr>
        <rFont val="Batang"/>
        <color rgb="FFFF0000"/>
        <sz val="11.0"/>
      </rPr>
      <t xml:space="preserve">FIFA FAN FEST
</t>
    </r>
    <r>
      <rPr>
        <rFont val="바탕"/>
        <color rgb="FF0070C0"/>
        <sz val="11.0"/>
      </rPr>
      <t xml:space="preserve">Canada day in POCO
</t>
    </r>
    <r>
      <rPr>
        <rFont val="바탕"/>
        <color rgb="FF00B050"/>
        <sz val="11.0"/>
      </rPr>
      <t>Canada day in New West Booth</t>
    </r>
  </si>
  <si>
    <r>
      <rPr>
        <rFont val="Batang"/>
        <color rgb="FFFF0000"/>
        <sz val="11.0"/>
      </rPr>
      <t xml:space="preserve">FIFA FAN FEST
</t>
    </r>
    <r>
      <rPr>
        <rFont val="바탕"/>
        <color rgb="FF0070C0"/>
        <sz val="11.0"/>
      </rPr>
      <t>Granville Island FIFA</t>
    </r>
  </si>
  <si>
    <r>
      <rPr>
        <rFont val="Batang"/>
        <color rgb="FFFF0000"/>
        <sz val="11.0"/>
      </rPr>
      <t xml:space="preserve">FIFA FAN FEST
</t>
    </r>
    <r>
      <rPr>
        <rFont val="바탕"/>
        <color rgb="FF0070C0"/>
        <sz val="11.0"/>
      </rPr>
      <t>Granville Island FIFA</t>
    </r>
  </si>
  <si>
    <r>
      <rPr>
        <rFont val="Batang"/>
        <color rgb="FFFF0000"/>
        <sz val="11.0"/>
      </rPr>
      <t xml:space="preserve">FIFA FAN FEST
</t>
    </r>
    <r>
      <rPr>
        <rFont val="바탕"/>
        <color rgb="FFFF0000"/>
        <sz val="11.0"/>
      </rPr>
      <t xml:space="preserve">
</t>
    </r>
  </si>
  <si>
    <r>
      <rPr>
        <rFont val="Batang"/>
        <color rgb="FFFF0000"/>
        <sz val="11.0"/>
      </rPr>
      <t xml:space="preserve">FIFA FAN FEST
</t>
    </r>
    <r>
      <rPr>
        <rFont val="바탕"/>
        <color rgb="FFFF0000"/>
        <sz val="11.0"/>
      </rPr>
      <t xml:space="preserve">
</t>
    </r>
  </si>
  <si>
    <r>
      <rPr>
        <rFont val="Batang"/>
        <color rgb="FFFF0000"/>
        <sz val="11.0"/>
      </rPr>
      <t xml:space="preserve">FIFA FAN FEST
</t>
    </r>
    <r>
      <rPr>
        <rFont val="바탕"/>
        <color rgb="FF0070C0"/>
        <sz val="11.0"/>
      </rPr>
      <t>Khatalano Street 
Party</t>
    </r>
    <r>
      <rPr>
        <rFont val="바탕"/>
        <color rgb="FFFF0000"/>
        <sz val="11.0"/>
      </rPr>
      <t xml:space="preserve">
</t>
    </r>
  </si>
  <si>
    <r>
      <rPr>
        <rFont val="Batang"/>
        <color rgb="FFFF0000"/>
        <sz val="11.0"/>
      </rPr>
      <t xml:space="preserve">FIFA FAN FEST
</t>
    </r>
    <r>
      <rPr>
        <rFont val="바탕"/>
        <color rgb="FF0070C0"/>
        <sz val="11.0"/>
      </rPr>
      <t>Vancouver Folk
Music Fest</t>
    </r>
    <r>
      <rPr>
        <rFont val="바탕"/>
        <color rgb="FFFF0000"/>
        <sz val="11.0"/>
      </rPr>
      <t xml:space="preserve">
</t>
    </r>
  </si>
  <si>
    <r>
      <rPr>
        <rFont val="Batang"/>
        <color rgb="FFFF0000"/>
        <sz val="11.0"/>
      </rPr>
      <t xml:space="preserve">FIFA FAN FEST
</t>
    </r>
    <r>
      <rPr>
        <rFont val="바탕"/>
        <color rgb="FF0070C0"/>
        <sz val="11.0"/>
      </rPr>
      <t>Vancouver Folk
Music Fest</t>
    </r>
    <r>
      <rPr>
        <rFont val="바탕"/>
        <color rgb="FFFF0000"/>
        <sz val="11.0"/>
      </rPr>
      <t xml:space="preserve">
</t>
    </r>
  </si>
  <si>
    <r>
      <rPr>
        <rFont val="Batang"/>
        <color rgb="FFFF0000"/>
        <sz val="11.0"/>
      </rPr>
      <t xml:space="preserve">FIFA FAN FEST
</t>
    </r>
    <r>
      <rPr>
        <rFont val="바탕"/>
        <color rgb="FF0070C0"/>
        <sz val="11.0"/>
      </rPr>
      <t>Vancouver Folk 
Music Fest</t>
    </r>
  </si>
  <si>
    <r>
      <rPr>
        <rFont val="Batang"/>
        <color rgb="FF0070C0"/>
        <sz val="11.0"/>
      </rPr>
      <t xml:space="preserve">Mission Folk 
Music Fest
</t>
    </r>
    <r>
      <rPr>
        <rFont val="바탕"/>
        <color rgb="FF404040"/>
        <sz val="11.0"/>
      </rPr>
      <t>Jazz Art Fest</t>
    </r>
  </si>
  <si>
    <r>
      <rPr>
        <rFont val="Batang"/>
        <color rgb="FF0070C0"/>
        <sz val="11.0"/>
      </rPr>
      <t xml:space="preserve">Mission Folk 
Music Fest
</t>
    </r>
    <r>
      <rPr>
        <rFont val="바탕"/>
        <color rgb="FF404040"/>
        <sz val="11.0"/>
      </rPr>
      <t xml:space="preserve">Jazz Art Fest
</t>
    </r>
    <r>
      <rPr>
        <rFont val="바탕"/>
        <color rgb="FFFF0000"/>
        <sz val="11.0"/>
      </rPr>
      <t xml:space="preserve">China town Festival </t>
    </r>
  </si>
  <si>
    <r>
      <rPr>
        <rFont val="Batang"/>
        <color rgb="FF0070C0"/>
        <sz val="11.0"/>
      </rPr>
      <t xml:space="preserve">Mission Folk
Music Fest
</t>
    </r>
    <r>
      <rPr>
        <rFont val="바탕"/>
        <color rgb="FFFF0000"/>
        <sz val="11.0"/>
      </rPr>
      <t xml:space="preserve">China Town Festival </t>
    </r>
  </si>
  <si>
    <r>
      <rPr>
        <rFont val="Batang"/>
        <color rgb="FFFF0000"/>
        <sz val="11.0"/>
      </rPr>
      <t xml:space="preserve">Harmony Art Fest
</t>
    </r>
    <r>
      <rPr>
        <rFont val="바탕"/>
        <color rgb="FF404040"/>
        <sz val="11.0"/>
      </rPr>
      <t>Abbotsford agrifair</t>
    </r>
  </si>
  <si>
    <r>
      <rPr>
        <rFont val="Batang"/>
        <color rgb="FFFF0000"/>
        <sz val="11.0"/>
      </rPr>
      <t xml:space="preserve">Harmony Art Fest
</t>
    </r>
    <r>
      <rPr>
        <rFont val="바탕"/>
        <color rgb="FF404040"/>
        <sz val="11.0"/>
      </rPr>
      <t>Abbotsford agrifair</t>
    </r>
  </si>
  <si>
    <r>
      <rPr>
        <rFont val="Batang"/>
        <color rgb="FFFF0000"/>
        <sz val="11.0"/>
      </rPr>
      <t xml:space="preserve">Harmony Art Fest
</t>
    </r>
    <r>
      <rPr>
        <rFont val="바탕"/>
        <color rgb="FF404040"/>
        <sz val="11.0"/>
      </rPr>
      <t>Abbotsford agrifair</t>
    </r>
  </si>
  <si>
    <r>
      <rPr>
        <rFont val="Batang"/>
        <color rgb="FFFF0000"/>
        <sz val="11.0"/>
      </rPr>
      <t xml:space="preserve">Harmony Art Fest
</t>
    </r>
    <r>
      <rPr>
        <rFont val="바탕"/>
        <color theme="1"/>
        <sz val="11.0"/>
      </rPr>
      <t>Abbotsford agrifair</t>
    </r>
  </si>
  <si>
    <r>
      <rPr>
        <rFont val="Batang"/>
        <color rgb="FFFF0000"/>
        <sz val="11.0"/>
      </rPr>
      <t xml:space="preserve">Harmony Art Fest
</t>
    </r>
    <r>
      <rPr>
        <rFont val="바탕"/>
        <color theme="1"/>
        <sz val="11.0"/>
      </rPr>
      <t>Abbotsford agrifair</t>
    </r>
  </si>
  <si>
    <t>Harmony Art Fest</t>
  </si>
  <si>
    <r>
      <rPr>
        <rFont val="Batang"/>
        <color rgb="FFFF0000"/>
        <sz val="11.0"/>
      </rPr>
      <t xml:space="preserve">Harmony Art Fest
</t>
    </r>
    <r>
      <rPr>
        <rFont val="바탕"/>
        <color rgb="FF404040"/>
        <sz val="11.0"/>
      </rPr>
      <t>Abbotsford Air Show</t>
    </r>
  </si>
  <si>
    <r>
      <rPr>
        <rFont val="Batang"/>
        <color rgb="FFFF0000"/>
        <sz val="11.0"/>
      </rPr>
      <t xml:space="preserve">Harmony Art Fest
</t>
    </r>
    <r>
      <rPr>
        <rFont val="Arial"/>
        <color rgb="FF404040"/>
        <sz val="11.0"/>
      </rPr>
      <t xml:space="preserve">Abbotsford Air Show
</t>
    </r>
    <r>
      <rPr>
        <rFont val="Arial"/>
        <color rgb="FF0070C0"/>
        <sz val="11.0"/>
      </rPr>
      <t xml:space="preserve">Mountain Pleasant Festival </t>
    </r>
  </si>
  <si>
    <r>
      <rPr>
        <rFont val="Batang"/>
        <color rgb="FFFF0000"/>
        <sz val="11.0"/>
      </rPr>
      <t xml:space="preserve">Harmony Art Fest
</t>
    </r>
    <r>
      <rPr>
        <rFont val="바탕"/>
        <color rgb="FF404040"/>
        <sz val="11.0"/>
      </rPr>
      <t>Abbotsford Air Show</t>
    </r>
  </si>
  <si>
    <r>
      <rPr>
        <rFont val="바탕"/>
        <color rgb="FFFF0000"/>
        <sz val="11.0"/>
      </rPr>
      <t>Garlic Fest</t>
    </r>
    <r>
      <rPr>
        <rFont val="바탕"/>
        <color rgb="FF3F3F3F"/>
        <sz val="11.0"/>
      </rPr>
      <t xml:space="preserve">
</t>
    </r>
    <r>
      <rPr>
        <rFont val="바탕"/>
        <color rgb="FF0070C0"/>
        <sz val="11.0"/>
      </rPr>
      <t>Dumpling Fest</t>
    </r>
  </si>
  <si>
    <t>Car Free day 
-Port Moody-</t>
  </si>
  <si>
    <r>
      <rPr>
        <rFont val="Batang"/>
        <color rgb="FFFF0000"/>
        <sz val="11.0"/>
      </rPr>
      <t xml:space="preserve">PNE Summer Fair
</t>
    </r>
    <r>
      <rPr>
        <rFont val="바탕"/>
        <color theme="1"/>
        <sz val="11.0"/>
      </rPr>
      <t>Salmon music fest</t>
    </r>
  </si>
  <si>
    <t>PNE Summer Fair</t>
  </si>
  <si>
    <r>
      <rPr>
        <rFont val="Batang"/>
        <color rgb="FFFF0000"/>
        <sz val="11.0"/>
      </rPr>
      <t xml:space="preserve">PNE Summer Fair
</t>
    </r>
    <r>
      <rPr>
        <rFont val="바탕"/>
        <color rgb="FF00B050"/>
        <sz val="11.0"/>
      </rPr>
      <t>Kimchi Fest Booth</t>
    </r>
  </si>
  <si>
    <r>
      <rPr>
        <rFont val="Batang"/>
        <color rgb="FFFF0000"/>
        <sz val="11.0"/>
      </rPr>
      <t xml:space="preserve">PNE Summer Fair
</t>
    </r>
    <r>
      <rPr>
        <rFont val="바탕"/>
        <color rgb="FF0070C0"/>
        <sz val="11.0"/>
      </rPr>
      <t>K-POP Fest</t>
    </r>
    <r>
      <rPr>
        <rFont val="바탕"/>
        <color rgb="FFFF0000"/>
        <sz val="11.0"/>
      </rPr>
      <t xml:space="preserve">
</t>
    </r>
    <r>
      <rPr>
        <rFont val="바탕"/>
        <color rgb="FF00B050"/>
        <sz val="11.0"/>
      </rPr>
      <t>Kimchi Fest Booth</t>
    </r>
  </si>
  <si>
    <r>
      <rPr>
        <rFont val="Batang"/>
        <color rgb="FFFF0000"/>
        <sz val="11.0"/>
      </rPr>
      <t xml:space="preserve">PNE Summer Fair
</t>
    </r>
    <r>
      <rPr>
        <rFont val="바탕"/>
        <color rgb="FF00B050"/>
        <sz val="11.0"/>
      </rPr>
      <t>K-Food Fest Booth</t>
    </r>
  </si>
  <si>
    <r>
      <rPr>
        <rFont val="바탕"/>
        <color rgb="FFFF0000"/>
        <sz val="11.0"/>
      </rPr>
      <t>PNE Summer Fair</t>
    </r>
    <r>
      <rPr>
        <rFont val="바탕"/>
        <color rgb="FF3F3F3F"/>
        <sz val="11.0"/>
      </rPr>
      <t xml:space="preserve">
</t>
    </r>
    <r>
      <rPr>
        <rFont val="바탕"/>
        <color rgb="FF0070C0"/>
        <sz val="11.0"/>
      </rPr>
      <t xml:space="preserve">Car Free day 
- Vancouver
</t>
    </r>
    <r>
      <rPr>
        <rFont val="바탕"/>
        <color rgb="FF00B050"/>
        <sz val="11.0"/>
      </rPr>
      <t>K-Food Fest Booth</t>
    </r>
  </si>
  <si>
    <t>New West
Farmers Market</t>
  </si>
  <si>
    <t>Car Free day 
- Main st</t>
  </si>
  <si>
    <t>Car Free day - 
North Van</t>
  </si>
  <si>
    <t>NW Farmers 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</si>
</sst>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"/>
  </numFmts>
  <fonts count="12">
    <font>
      <sz val="11.0"/>
      <color rgb="FF3F3F3F"/>
      <name val="Merriweather"/>
      <scheme val="minor"/>
    </font>
    <font>
      <sz val="11.0"/>
      <color rgb="FF3F3F3F"/>
      <name val="Batang"/>
    </font>
    <font>
      <sz val="35.0"/>
      <color theme="4"/>
      <name val="Batang"/>
    </font>
    <font>
      <sz val="11.0"/>
      <color rgb="FF4C7226"/>
      <name val="Batang"/>
    </font>
    <font>
      <sz val="10.0"/>
      <color theme="1"/>
      <name val="Batang"/>
    </font>
    <font>
      <sz val="12.0"/>
      <color rgb="FF4C7226"/>
      <name val="Batang"/>
    </font>
    <font>
      <sz val="11.0"/>
      <color rgb="FF595959"/>
      <name val="Batang"/>
    </font>
    <font>
      <b/>
      <sz val="11.0"/>
      <color rgb="FF595959"/>
      <name val="Batang"/>
    </font>
    <font/>
    <font>
      <sz val="11.0"/>
      <color rgb="FFFF0000"/>
      <name val="Batang"/>
    </font>
    <font>
      <sz val="11.0"/>
      <color rgb="FF0070C0"/>
      <name val="Batang"/>
    </font>
    <font>
      <sz val="11.0"/>
      <color rgb="FF404040"/>
      <name val="Batang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6F1"/>
        <bgColor rgb="FFF6F6F1"/>
      </patternFill>
    </fill>
  </fills>
  <borders count="11">
    <border/>
    <border>
      <left/>
      <right/>
      <top/>
      <bottom/>
    </border>
    <border>
      <bottom style="medium">
        <color rgb="FF4C7226"/>
      </bottom>
    </border>
    <border>
      <left/>
      <right/>
      <top/>
    </border>
    <border>
      <left/>
      <top/>
    </border>
    <border>
      <top/>
    </border>
    <border>
      <right/>
      <top/>
    </border>
    <border>
      <left/>
      <right/>
      <bottom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vertical="top"/>
    </xf>
    <xf borderId="1" fillId="2" fontId="2" numFmtId="0" xfId="0" applyAlignment="1" applyBorder="1" applyFill="1" applyFont="1">
      <alignment vertical="center"/>
    </xf>
    <xf borderId="1" fillId="2" fontId="2" numFmtId="0" xfId="0" applyAlignment="1" applyBorder="1" applyFont="1">
      <alignment horizontal="left" vertical="center"/>
    </xf>
    <xf borderId="1" fillId="2" fontId="3" numFmtId="0" xfId="0" applyAlignment="1" applyBorder="1" applyFont="1">
      <alignment vertical="center"/>
    </xf>
    <xf borderId="1" fillId="2" fontId="1" numFmtId="0" xfId="0" applyAlignment="1" applyBorder="1" applyFont="1">
      <alignment vertical="top"/>
    </xf>
    <xf borderId="1" fillId="2" fontId="3" numFmtId="0" xfId="0" applyAlignment="1" applyBorder="1" applyFont="1">
      <alignment vertical="bottom"/>
    </xf>
    <xf borderId="2" fillId="0" fontId="3" numFmtId="0" xfId="0" applyAlignment="1" applyBorder="1" applyFont="1">
      <alignment horizontal="left" vertical="center"/>
    </xf>
    <xf borderId="0" fillId="0" fontId="4" numFmtId="0" xfId="0" applyAlignment="1" applyFont="1">
      <alignment vertical="top"/>
    </xf>
    <xf borderId="0" fillId="0" fontId="1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6" numFmtId="164" xfId="0" applyAlignment="1" applyFont="1" applyNumberFormat="1">
      <alignment horizontal="left" vertical="bottom"/>
    </xf>
    <xf borderId="0" fillId="0" fontId="1" numFmtId="0" xfId="0" applyAlignment="1" applyFont="1">
      <alignment horizontal="left" vertical="bottom"/>
    </xf>
    <xf borderId="0" fillId="0" fontId="1" numFmtId="164" xfId="0" applyAlignment="1" applyFont="1" applyNumberFormat="1">
      <alignment vertical="top"/>
    </xf>
    <xf borderId="1" fillId="3" fontId="6" numFmtId="164" xfId="0" applyAlignment="1" applyBorder="1" applyFill="1" applyFont="1" applyNumberFormat="1">
      <alignment horizontal="left" shrinkToFit="0" vertical="bottom" wrapText="1"/>
    </xf>
    <xf borderId="1" fillId="3" fontId="1" numFmtId="0" xfId="0" applyAlignment="1" applyBorder="1" applyFont="1">
      <alignment vertical="top"/>
    </xf>
    <xf borderId="1" fillId="2" fontId="1" numFmtId="0" xfId="0" applyAlignment="1" applyBorder="1" applyFont="1">
      <alignment horizontal="right" vertical="bottom"/>
    </xf>
    <xf borderId="3" fillId="3" fontId="7" numFmtId="0" xfId="0" applyAlignment="1" applyBorder="1" applyFont="1">
      <alignment horizontal="left" shrinkToFit="0" vertical="top" wrapText="1"/>
    </xf>
    <xf borderId="4" fillId="3" fontId="1" numFmtId="0" xfId="0" applyAlignment="1" applyBorder="1" applyFont="1">
      <alignment vertical="top"/>
    </xf>
    <xf borderId="5" fillId="0" fontId="8" numFmtId="0" xfId="0" applyAlignment="1" applyBorder="1" applyFont="1">
      <alignment vertical="top"/>
    </xf>
    <xf borderId="6" fillId="0" fontId="8" numFmtId="0" xfId="0" applyAlignment="1" applyBorder="1" applyFont="1">
      <alignment vertical="top"/>
    </xf>
    <xf borderId="7" fillId="0" fontId="8" numFmtId="0" xfId="0" applyAlignment="1" applyBorder="1" applyFont="1">
      <alignment vertical="top"/>
    </xf>
    <xf borderId="8" fillId="0" fontId="8" numFmtId="0" xfId="0" applyAlignment="1" applyBorder="1" applyFont="1">
      <alignment vertical="top"/>
    </xf>
    <xf borderId="9" fillId="0" fontId="8" numFmtId="0" xfId="0" applyAlignment="1" applyBorder="1" applyFont="1">
      <alignment vertical="top"/>
    </xf>
    <xf borderId="10" fillId="0" fontId="8" numFmtId="0" xfId="0" applyAlignment="1" applyBorder="1" applyFont="1">
      <alignment vertical="top"/>
    </xf>
    <xf borderId="0" fillId="0" fontId="2" numFmtId="0" xfId="0" applyAlignment="1" applyFont="1">
      <alignment horizontal="right" vertical="center"/>
    </xf>
    <xf borderId="1" fillId="3" fontId="6" numFmtId="164" xfId="0" applyAlignment="1" applyBorder="1" applyFont="1" applyNumberFormat="1">
      <alignment horizontal="left" vertical="bottom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vertical="top"/>
    </xf>
    <xf borderId="1" fillId="3" fontId="9" numFmtId="0" xfId="0" applyAlignment="1" applyBorder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1" fillId="3" fontId="10" numFmtId="0" xfId="0" applyAlignment="1" applyBorder="1" applyFont="1">
      <alignment shrinkToFit="0" vertical="top" wrapText="1"/>
    </xf>
    <xf borderId="0" fillId="0" fontId="9" numFmtId="0" xfId="0" applyAlignment="1" applyFont="1">
      <alignment readingOrder="0" shrinkToFit="0" vertical="top" wrapText="1"/>
    </xf>
    <xf borderId="1" fillId="3" fontId="9" numFmtId="0" xfId="0" applyAlignment="1" applyBorder="1" applyFont="1">
      <alignment vertical="top"/>
    </xf>
    <xf borderId="1" fillId="3" fontId="9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1" fillId="3" fontId="1" numFmtId="0" xfId="0" applyAlignment="1" applyBorder="1" applyFont="1">
      <alignment shrinkToFit="0" vertical="top" wrapText="1"/>
    </xf>
    <xf borderId="1" fillId="3" fontId="11" numFmtId="0" xfId="0" applyAlignment="1" applyBorder="1" applyFont="1">
      <alignment shrinkToFit="0" vertical="top" wrapText="1"/>
    </xf>
    <xf borderId="0" fillId="0" fontId="1" numFmtId="0" xfId="0" applyAlignment="1" applyFont="1">
      <alignment readingOrder="0" vertical="top"/>
    </xf>
  </cellXfs>
  <cellStyles count="1">
    <cellStyle xfId="0" name="Normal" builtinId="0"/>
  </cellStyles>
  <dxfs count="1">
    <dxf>
      <font>
        <color rgb="FFBFBFB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69933"/>
      </a:accent1>
      <a:accent2>
        <a:srgbClr val="E69216"/>
      </a:accent2>
      <a:accent3>
        <a:srgbClr val="609FC2"/>
      </a:accent3>
      <a:accent4>
        <a:srgbClr val="E6B819"/>
      </a:accent4>
      <a:accent5>
        <a:srgbClr val="DA695B"/>
      </a:accent5>
      <a:accent6>
        <a:srgbClr val="956895"/>
      </a:accent6>
      <a:hlink>
        <a:srgbClr val="609FC2"/>
      </a:hlink>
      <a:folHlink>
        <a:srgbClr val="609FC2"/>
      </a:folHlink>
    </a:clrScheme>
    <a:fontScheme name="Sheets">
      <a:majorFont>
        <a:latin typeface="Merriweather"/>
        <a:ea typeface="Merriweather"/>
        <a:cs typeface="Merriweather"/>
      </a:majorFont>
      <a:minorFont>
        <a:latin typeface="Merriweather"/>
        <a:ea typeface="Merriweather"/>
        <a:cs typeface="Merriweath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4C19"/>
    <pageSetUpPr fitToPage="1"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6.0"/>
    <col customWidth="1" min="3" max="8" width="15.38"/>
    <col customWidth="1" min="9" max="9" width="2.25"/>
    <col customWidth="1" min="10" max="10" width="5.38"/>
    <col customWidth="1" min="11" max="11" width="11.88"/>
    <col customWidth="1" min="12" max="26" width="7.63"/>
  </cols>
  <sheetData>
    <row r="1" ht="60.0" customHeight="1">
      <c r="A1" s="1"/>
      <c r="B1" s="2" t="str">
        <f>"1월 "&amp;달력연도</f>
        <v>1월 2026</v>
      </c>
      <c r="C1" s="3"/>
      <c r="D1" s="3"/>
      <c r="E1" s="4"/>
      <c r="F1" s="4"/>
      <c r="G1" s="4"/>
      <c r="H1" s="3"/>
      <c r="I1" s="5"/>
      <c r="J1" s="6" t="s">
        <v>0</v>
      </c>
      <c r="K1" s="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1"/>
      <c r="B2" s="7" t="str">
        <f>주시작</f>
        <v>일요일</v>
      </c>
      <c r="C2" s="7" t="str">
        <f t="shared" ref="C2:H2" si="1">UPPER(TEXT(C3,"aaaa"))</f>
        <v>AAAA</v>
      </c>
      <c r="D2" s="7" t="str">
        <f t="shared" si="1"/>
        <v>AAAA</v>
      </c>
      <c r="E2" s="7" t="str">
        <f t="shared" si="1"/>
        <v>AAAA</v>
      </c>
      <c r="F2" s="7" t="str">
        <f t="shared" si="1"/>
        <v>AAAA</v>
      </c>
      <c r="G2" s="7" t="str">
        <f t="shared" si="1"/>
        <v>AAAA</v>
      </c>
      <c r="H2" s="7" t="str">
        <f t="shared" si="1"/>
        <v>AAAA</v>
      </c>
      <c r="I2" s="8"/>
      <c r="J2" s="9" t="s">
        <v>1</v>
      </c>
      <c r="K2" s="10">
        <f>YEAR(TODAY())</f>
        <v>2026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1"/>
      <c r="B3" s="11">
        <f t="array" ref="B3:H3">요일및주+DATE(달력연도,1,1)-WEEKDAY(DATE(달력연도,1,1),(주시작="월요일")+1)+1</f>
        <v>46019</v>
      </c>
      <c r="C3" s="11">
        <v>46020.0</v>
      </c>
      <c r="D3" s="11">
        <v>46021.0</v>
      </c>
      <c r="E3" s="11">
        <v>46022.0</v>
      </c>
      <c r="F3" s="11">
        <v>46023.0</v>
      </c>
      <c r="G3" s="11">
        <v>46024.0</v>
      </c>
      <c r="H3" s="11">
        <v>46025.0</v>
      </c>
      <c r="I3" s="12"/>
      <c r="J3" s="9" t="s">
        <v>2</v>
      </c>
      <c r="K3" s="10" t="s">
        <v>3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57.75" customHeight="1">
      <c r="A4" s="1"/>
      <c r="B4" s="1"/>
      <c r="C4" s="1"/>
      <c r="D4" s="1"/>
      <c r="E4" s="1"/>
      <c r="F4" s="1"/>
      <c r="G4" s="1"/>
      <c r="H4" s="1"/>
      <c r="I4" s="1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4">
        <f t="array" ref="B5:H5">요일및주+DATE(달력연도,1,1)-WEEKDAY(DATE(달력연도,1,1),(주시작="월요일")+1)+8</f>
        <v>46026</v>
      </c>
      <c r="C5" s="14">
        <v>46027.0</v>
      </c>
      <c r="D5" s="14">
        <v>46028.0</v>
      </c>
      <c r="E5" s="14">
        <v>46029.0</v>
      </c>
      <c r="F5" s="14">
        <v>46030.0</v>
      </c>
      <c r="G5" s="14">
        <v>46031.0</v>
      </c>
      <c r="H5" s="14">
        <v>46032.0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57.75" customHeight="1">
      <c r="A6" s="1"/>
      <c r="B6" s="15"/>
      <c r="C6" s="15"/>
      <c r="D6" s="15"/>
      <c r="E6" s="15"/>
      <c r="F6" s="15"/>
      <c r="G6" s="15"/>
      <c r="H6" s="15"/>
      <c r="I6" s="1"/>
      <c r="J6" s="1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1">
        <f t="array" ref="B7:H7">요일및주+DATE(달력연도,1,1)-WEEKDAY(DATE(달력연도,1,1),(주시작="월요일")+1)+15</f>
        <v>46033</v>
      </c>
      <c r="C7" s="11">
        <v>46034.0</v>
      </c>
      <c r="D7" s="11">
        <v>46035.0</v>
      </c>
      <c r="E7" s="11">
        <v>46036.0</v>
      </c>
      <c r="F7" s="11">
        <v>46037.0</v>
      </c>
      <c r="G7" s="11">
        <v>46038.0</v>
      </c>
      <c r="H7" s="11">
        <v>46039.0</v>
      </c>
      <c r="I7" s="12"/>
      <c r="J7" s="16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57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4">
        <f t="array" ref="B9:H9">요일및주+DATE(달력연도,1,1)-WEEKDAY(DATE(달력연도,1,1),(주시작="월요일")+1)+22</f>
        <v>46040</v>
      </c>
      <c r="C9" s="14">
        <v>46041.0</v>
      </c>
      <c r="D9" s="14">
        <v>46042.0</v>
      </c>
      <c r="E9" s="14">
        <v>46043.0</v>
      </c>
      <c r="F9" s="14">
        <v>46044.0</v>
      </c>
      <c r="G9" s="14">
        <v>46045.0</v>
      </c>
      <c r="H9" s="14">
        <v>46046.0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57.75" customHeight="1">
      <c r="A10" s="1"/>
      <c r="B10" s="15"/>
      <c r="C10" s="15"/>
      <c r="D10" s="15"/>
      <c r="E10" s="15"/>
      <c r="F10" s="15"/>
      <c r="G10" s="15"/>
      <c r="H10" s="1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1">
        <f t="array" ref="B11:H11">요일및주+DATE(달력연도,1,1)-WEEKDAY(DATE(달력연도,1,1),(주시작="월요일")+1)+29</f>
        <v>46047</v>
      </c>
      <c r="C11" s="11">
        <v>46048.0</v>
      </c>
      <c r="D11" s="11">
        <v>46049.0</v>
      </c>
      <c r="E11" s="11">
        <v>46050.0</v>
      </c>
      <c r="F11" s="11">
        <v>46051.0</v>
      </c>
      <c r="G11" s="11">
        <v>46052.0</v>
      </c>
      <c r="H11" s="11">
        <v>46053.0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57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4">
        <f t="array" ref="B13:C13">요일및주+DATE(달력연도,1,1)-WEEKDAY(DATE(달력연도,1,1),(주시작="월요일")+1)+36</f>
        <v>46054</v>
      </c>
      <c r="C13" s="14">
        <v>46055.0</v>
      </c>
      <c r="D13" s="17" t="s">
        <v>4</v>
      </c>
      <c r="E13" s="18"/>
      <c r="F13" s="19"/>
      <c r="G13" s="19"/>
      <c r="H13" s="20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57.75" customHeight="1">
      <c r="A14" s="1"/>
      <c r="B14" s="15"/>
      <c r="C14" s="15"/>
      <c r="D14" s="21"/>
      <c r="E14" s="22"/>
      <c r="F14" s="23"/>
      <c r="G14" s="23"/>
      <c r="H14" s="2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D13:D14"/>
    <mergeCell ref="E13:H14"/>
  </mergeCells>
  <conditionalFormatting sqref="B11:H11 B13:C13">
    <cfRule type="expression" dxfId="0" priority="1">
      <formula>AND(DAY(B11)&gt;=1,DAY(B11)&lt;=15)</formula>
    </cfRule>
  </conditionalFormatting>
  <conditionalFormatting sqref="B3:G3">
    <cfRule type="expression" dxfId="0" priority="2">
      <formula>DAY(B3)&gt;8</formula>
    </cfRule>
  </conditionalFormatting>
  <dataValidations>
    <dataValidation type="list" allowBlank="1" showInputMessage="1" prompt="이 셀에서 주 시작 요일을 선택합니다. Alt+아래쪽 화살표를 눌러 드롭다운 목록을 연 다음 Enter 키를 눌러 주 시작 요일을 선택합니다." sqref="K3">
      <formula1>"일요일,월요일"</formula1>
    </dataValidation>
  </dataValidations>
  <printOptions horizontalCentered="1" verticalCentered="1"/>
  <pageMargins bottom="0.75" footer="0.0" header="0.0" left="0.7" right="0.7" top="0.75"/>
  <pageSetup paperSize="9" orientation="landscape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7226"/>
    <pageSetUpPr fitToPage="1"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6.0"/>
    <col customWidth="1" min="3" max="8" width="15.38"/>
    <col customWidth="1" min="9" max="26" width="7.63"/>
  </cols>
  <sheetData>
    <row r="1" ht="59.25" customHeight="1">
      <c r="A1" s="1"/>
      <c r="B1" s="3" t="str">
        <f>"2월 "&amp;달력연도</f>
        <v>2월 2026</v>
      </c>
      <c r="C1" s="3"/>
      <c r="D1" s="3"/>
      <c r="E1" s="4"/>
      <c r="F1" s="4"/>
      <c r="G1" s="4"/>
      <c r="H1" s="2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1"/>
      <c r="B2" s="7" t="str">
        <f>IF(주시작="일요일", "일요일","월요일")</f>
        <v>일요일</v>
      </c>
      <c r="C2" s="7" t="str">
        <f t="shared" ref="C2:H2" si="1">UPPER(TEXT(C3,"aaaa"))</f>
        <v>AAAA</v>
      </c>
      <c r="D2" s="7" t="str">
        <f t="shared" si="1"/>
        <v>AAAA</v>
      </c>
      <c r="E2" s="7" t="str">
        <f t="shared" si="1"/>
        <v>AAAA</v>
      </c>
      <c r="F2" s="7" t="str">
        <f t="shared" si="1"/>
        <v>AAAA</v>
      </c>
      <c r="G2" s="7" t="str">
        <f t="shared" si="1"/>
        <v>AAAA</v>
      </c>
      <c r="H2" s="7" t="str">
        <f t="shared" si="1"/>
        <v>AAAA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1"/>
      <c r="B3" s="11">
        <f t="array" ref="B3:H3">요일및주+DATE(달력연도,2,1)-WEEKDAY(DATE(달력연도,2,1),(주시작="Monday")+1)+1</f>
        <v>46054</v>
      </c>
      <c r="C3" s="11">
        <v>46055.0</v>
      </c>
      <c r="D3" s="11">
        <v>46056.0</v>
      </c>
      <c r="E3" s="11">
        <v>46057.0</v>
      </c>
      <c r="F3" s="11">
        <v>46058.0</v>
      </c>
      <c r="G3" s="11">
        <v>46059.0</v>
      </c>
      <c r="H3" s="11">
        <v>46060.0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57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6">
        <f t="array" ref="B5:H5">요일및주+DATE(달력연도,2,1)-WEEKDAY(DATE(달력연도,2,1),(주시작="Monday")+1)+8</f>
        <v>46061</v>
      </c>
      <c r="C5" s="26">
        <v>46062.0</v>
      </c>
      <c r="D5" s="26">
        <v>46063.0</v>
      </c>
      <c r="E5" s="26">
        <v>46064.0</v>
      </c>
      <c r="F5" s="26">
        <v>46065.0</v>
      </c>
      <c r="G5" s="26">
        <v>46066.0</v>
      </c>
      <c r="H5" s="26">
        <v>46067.0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57.75" customHeight="1">
      <c r="A6" s="1"/>
      <c r="B6" s="15"/>
      <c r="C6" s="15"/>
      <c r="D6" s="15"/>
      <c r="E6" s="15"/>
      <c r="F6" s="15"/>
      <c r="G6" s="15"/>
      <c r="H6" s="1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1">
        <f t="array" ref="B7:H7">요일및주+DATE(달력연도,2,1)-WEEKDAY(DATE(달력연도,2,1),(주시작="Monday")+1)+15</f>
        <v>46068</v>
      </c>
      <c r="C7" s="11">
        <v>46069.0</v>
      </c>
      <c r="D7" s="11">
        <v>46070.0</v>
      </c>
      <c r="E7" s="11">
        <v>46071.0</v>
      </c>
      <c r="F7" s="11">
        <v>46072.0</v>
      </c>
      <c r="G7" s="11">
        <v>46073.0</v>
      </c>
      <c r="H7" s="11">
        <v>46074.0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57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26">
        <f t="array" ref="B9:H9">요일및주+DATE(달력연도,2,1)-WEEKDAY(DATE(달력연도,2,1),(주시작="Monday")+1)+22</f>
        <v>46075</v>
      </c>
      <c r="C9" s="26">
        <v>46076.0</v>
      </c>
      <c r="D9" s="26">
        <v>46077.0</v>
      </c>
      <c r="E9" s="26">
        <v>46078.0</v>
      </c>
      <c r="F9" s="26">
        <v>46079.0</v>
      </c>
      <c r="G9" s="26">
        <v>46080.0</v>
      </c>
      <c r="H9" s="26">
        <v>46081.0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57.75" customHeight="1">
      <c r="A10" s="1"/>
      <c r="B10" s="15"/>
      <c r="C10" s="15"/>
      <c r="D10" s="15"/>
      <c r="E10" s="15"/>
      <c r="F10" s="15"/>
      <c r="G10" s="15"/>
      <c r="H10" s="1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1">
        <f t="array" ref="B11:H11">요일및주+DATE(달력연도,2,1)-WEEKDAY(DATE(달력연도,2,1),(주시작="Monday")+1)+29</f>
        <v>46082</v>
      </c>
      <c r="C11" s="11">
        <v>46083.0</v>
      </c>
      <c r="D11" s="11">
        <v>46084.0</v>
      </c>
      <c r="E11" s="11">
        <v>46085.0</v>
      </c>
      <c r="F11" s="11">
        <v>46086.0</v>
      </c>
      <c r="G11" s="11">
        <v>46087.0</v>
      </c>
      <c r="H11" s="11">
        <v>46088.0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57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26">
        <f t="array" ref="B13:C13">요일및주+DATE(달력연도,2,1)-WEEKDAY(DATE(달력연도,2,1),(주시작="Monday")+1)+36</f>
        <v>46089</v>
      </c>
      <c r="C13" s="26">
        <v>46090.0</v>
      </c>
      <c r="D13" s="17" t="s">
        <v>4</v>
      </c>
      <c r="E13" s="18"/>
      <c r="F13" s="19"/>
      <c r="G13" s="19"/>
      <c r="H13" s="20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57.75" customHeight="1">
      <c r="A14" s="1"/>
      <c r="B14" s="15"/>
      <c r="C14" s="15"/>
      <c r="D14" s="21"/>
      <c r="E14" s="22"/>
      <c r="F14" s="23"/>
      <c r="G14" s="23"/>
      <c r="H14" s="2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D13:D14"/>
    <mergeCell ref="E13:H14"/>
  </mergeCells>
  <conditionalFormatting sqref="B11:H11 B13:C13">
    <cfRule type="expression" dxfId="0" priority="1">
      <formula>AND(DAY(B11)&gt;=1,DAY(B11)&lt;=15)</formula>
    </cfRule>
  </conditionalFormatting>
  <conditionalFormatting sqref="B3:G3">
    <cfRule type="expression" dxfId="0" priority="2">
      <formula>DAY(B3)&gt;8</formula>
    </cfRule>
  </conditionalFormatting>
  <printOptions horizontalCentered="1" verticalCentered="1"/>
  <pageMargins bottom="0.75" footer="0.0" header="0.0" left="0.7" right="0.7" top="0.75"/>
  <pageSetup paperSize="9" orientation="landscape"/>
  <headerFoot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6.0"/>
    <col customWidth="1" min="3" max="8" width="15.38"/>
    <col customWidth="1" min="9" max="26" width="7.63"/>
  </cols>
  <sheetData>
    <row r="1" ht="59.25" customHeight="1">
      <c r="A1" s="1"/>
      <c r="B1" s="3" t="str">
        <f>"3월 "&amp;달력연도</f>
        <v>3월 2026</v>
      </c>
      <c r="C1" s="3"/>
      <c r="D1" s="3"/>
      <c r="E1" s="4"/>
      <c r="F1" s="4"/>
      <c r="G1" s="4"/>
      <c r="H1" s="2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7" t="str">
        <f>IF(주시작="일요일", "일요일","월요일")</f>
        <v>일요일</v>
      </c>
      <c r="C2" s="7" t="str">
        <f t="shared" ref="C2:H2" si="1">UPPER(TEXT(C3,"aaaa"))</f>
        <v>AAAA</v>
      </c>
      <c r="D2" s="7" t="str">
        <f t="shared" si="1"/>
        <v>AAAA</v>
      </c>
      <c r="E2" s="7" t="str">
        <f t="shared" si="1"/>
        <v>AAAA</v>
      </c>
      <c r="F2" s="7" t="str">
        <f t="shared" si="1"/>
        <v>AAAA</v>
      </c>
      <c r="G2" s="7" t="str">
        <f t="shared" si="1"/>
        <v>AAAA</v>
      </c>
      <c r="H2" s="7" t="str">
        <f t="shared" si="1"/>
        <v>AAAA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1">
        <f t="array" ref="B3:H3">요일및주+DATE(달력연도,3,1)-WEEKDAY(DATE(달력연도,3,1),(주시작="Monday")+1)+1</f>
        <v>46082</v>
      </c>
      <c r="C3" s="11">
        <v>46083.0</v>
      </c>
      <c r="D3" s="11">
        <v>46084.0</v>
      </c>
      <c r="E3" s="11">
        <v>46085.0</v>
      </c>
      <c r="F3" s="11">
        <v>46086.0</v>
      </c>
      <c r="G3" s="11">
        <v>46087.0</v>
      </c>
      <c r="H3" s="11">
        <v>46088.0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7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6">
        <f t="array" ref="B5:H5">요일및주+DATE(달력연도,3,1)-WEEKDAY(DATE(달력연도,3,1),(주시작="Monday")+1)+8</f>
        <v>46089</v>
      </c>
      <c r="C5" s="26">
        <v>46090.0</v>
      </c>
      <c r="D5" s="26">
        <v>46091.0</v>
      </c>
      <c r="E5" s="26">
        <v>46092.0</v>
      </c>
      <c r="F5" s="26">
        <v>46093.0</v>
      </c>
      <c r="G5" s="26">
        <v>46094.0</v>
      </c>
      <c r="H5" s="26">
        <v>46095.0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7.75" customHeight="1">
      <c r="A6" s="1"/>
      <c r="B6" s="15"/>
      <c r="C6" s="15"/>
      <c r="D6" s="15"/>
      <c r="E6" s="15"/>
      <c r="F6" s="15"/>
      <c r="G6" s="15"/>
      <c r="H6" s="1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1">
        <f t="array" ref="B7:H7">요일및주+DATE(달력연도,3,1)-WEEKDAY(DATE(달력연도,3,1),(주시작="Monday")+1)+15</f>
        <v>46096</v>
      </c>
      <c r="C7" s="11">
        <v>46097.0</v>
      </c>
      <c r="D7" s="11">
        <v>46098.0</v>
      </c>
      <c r="E7" s="11">
        <v>46099.0</v>
      </c>
      <c r="F7" s="11">
        <v>46100.0</v>
      </c>
      <c r="G7" s="11">
        <v>46101.0</v>
      </c>
      <c r="H7" s="11">
        <v>46102.0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7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26">
        <f t="array" ref="B9:H9">요일및주+DATE(달력연도,3,1)-WEEKDAY(DATE(달력연도,3,1),(주시작="Monday")+1)+22</f>
        <v>46103</v>
      </c>
      <c r="C9" s="26">
        <v>46104.0</v>
      </c>
      <c r="D9" s="26">
        <v>46105.0</v>
      </c>
      <c r="E9" s="26">
        <v>46106.0</v>
      </c>
      <c r="F9" s="26">
        <v>46107.0</v>
      </c>
      <c r="G9" s="26">
        <v>46108.0</v>
      </c>
      <c r="H9" s="26">
        <v>46109.0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7.75" customHeight="1">
      <c r="A10" s="1"/>
      <c r="B10" s="15"/>
      <c r="C10" s="15"/>
      <c r="D10" s="15"/>
      <c r="E10" s="15"/>
      <c r="F10" s="15"/>
      <c r="G10" s="15"/>
      <c r="H10" s="1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1">
        <f t="array" ref="B11:H11">요일및주+DATE(달력연도,3,1)-WEEKDAY(DATE(달력연도,3,1),(주시작="Monday")+1)+29</f>
        <v>46110</v>
      </c>
      <c r="C11" s="11">
        <v>46111.0</v>
      </c>
      <c r="D11" s="11">
        <v>46112.0</v>
      </c>
      <c r="E11" s="11">
        <v>46113.0</v>
      </c>
      <c r="F11" s="11">
        <v>46114.0</v>
      </c>
      <c r="G11" s="11">
        <v>46115.0</v>
      </c>
      <c r="H11" s="11">
        <v>46116.0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7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26">
        <f t="array" ref="B13:C13">요일및주+DATE(달력연도,3,1)-WEEKDAY(DATE(달력연도,3,1),(주시작="Monday")+1)+36</f>
        <v>46117</v>
      </c>
      <c r="C13" s="26">
        <v>46118.0</v>
      </c>
      <c r="D13" s="17" t="s">
        <v>4</v>
      </c>
      <c r="E13" s="18"/>
      <c r="F13" s="19"/>
      <c r="G13" s="19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7.75" customHeight="1">
      <c r="A14" s="1"/>
      <c r="B14" s="15"/>
      <c r="C14" s="15"/>
      <c r="D14" s="21"/>
      <c r="E14" s="22"/>
      <c r="F14" s="23"/>
      <c r="G14" s="23"/>
      <c r="H14" s="2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D13:D14"/>
    <mergeCell ref="E13:H14"/>
  </mergeCells>
  <conditionalFormatting sqref="B11:H11 B13:C13">
    <cfRule type="expression" dxfId="0" priority="1">
      <formula>AND(DAY(B11)&gt;=1,DAY(B11)&lt;=15)</formula>
    </cfRule>
  </conditionalFormatting>
  <conditionalFormatting sqref="B3:G3">
    <cfRule type="expression" dxfId="0" priority="2">
      <formula>DAY(B3)&gt;8</formula>
    </cfRule>
  </conditionalFormatting>
  <printOptions horizontalCentered="1" verticalCentered="1"/>
  <pageMargins bottom="0.75" footer="0.0" header="0.0" left="0.7" right="0.7" top="0.75"/>
  <pageSetup paperSize="9" orientation="landscape"/>
  <headerFoot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3D175"/>
    <pageSetUpPr fitToPage="1"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6.0"/>
    <col customWidth="1" min="3" max="8" width="15.38"/>
    <col customWidth="1" min="9" max="26" width="7.63"/>
  </cols>
  <sheetData>
    <row r="1" ht="59.25" customHeight="1">
      <c r="A1" s="1"/>
      <c r="B1" s="3" t="str">
        <f>"4월 "&amp;달력연도</f>
        <v>4월 2026</v>
      </c>
      <c r="C1" s="3"/>
      <c r="D1" s="3"/>
      <c r="E1" s="4"/>
      <c r="F1" s="4"/>
      <c r="G1" s="4"/>
      <c r="H1" s="2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7" t="str">
        <f>IF(주시작="일요일", "일요일","월요일")</f>
        <v>일요일</v>
      </c>
      <c r="C2" s="7" t="str">
        <f t="shared" ref="C2:H2" si="1">UPPER(TEXT(C3,"aaaa"))</f>
        <v>AAAA</v>
      </c>
      <c r="D2" s="7" t="str">
        <f t="shared" si="1"/>
        <v>AAAA</v>
      </c>
      <c r="E2" s="7" t="str">
        <f t="shared" si="1"/>
        <v>AAAA</v>
      </c>
      <c r="F2" s="7" t="str">
        <f t="shared" si="1"/>
        <v>AAAA</v>
      </c>
      <c r="G2" s="7" t="str">
        <f t="shared" si="1"/>
        <v>AAAA</v>
      </c>
      <c r="H2" s="7" t="str">
        <f t="shared" si="1"/>
        <v>AAAA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1">
        <f t="array" ref="B3:H3">요일및주+DATE(달력연도,4,1)-WEEKDAY(DATE(달력연도,4,1),(주시작="Monday")+1)+1</f>
        <v>46110</v>
      </c>
      <c r="C3" s="11">
        <v>46111.0</v>
      </c>
      <c r="D3" s="11">
        <v>46112.0</v>
      </c>
      <c r="E3" s="11">
        <v>46113.0</v>
      </c>
      <c r="F3" s="11">
        <v>46114.0</v>
      </c>
      <c r="G3" s="11">
        <v>46115.0</v>
      </c>
      <c r="H3" s="11">
        <v>46116.0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7.75" customHeight="1">
      <c r="A4" s="1"/>
      <c r="B4" s="27" t="s">
        <v>5</v>
      </c>
      <c r="C4" s="1"/>
      <c r="D4" s="1"/>
      <c r="E4" s="28" t="s">
        <v>6</v>
      </c>
      <c r="F4" s="28" t="s">
        <v>6</v>
      </c>
      <c r="G4" s="28" t="s">
        <v>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6">
        <f t="array" ref="B5:H5">요일및주+DATE(달력연도,4,1)-WEEKDAY(DATE(달력연도,4,1),(주시작="Monday")+1)+8</f>
        <v>46117</v>
      </c>
      <c r="C5" s="26">
        <v>46118.0</v>
      </c>
      <c r="D5" s="26">
        <v>46119.0</v>
      </c>
      <c r="E5" s="26">
        <v>46120.0</v>
      </c>
      <c r="F5" s="26">
        <v>46121.0</v>
      </c>
      <c r="G5" s="26">
        <v>46122.0</v>
      </c>
      <c r="H5" s="26">
        <v>46123.0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7.75" customHeight="1">
      <c r="A6" s="1"/>
      <c r="B6" s="15"/>
      <c r="C6" s="15"/>
      <c r="D6" s="15"/>
      <c r="E6" s="15"/>
      <c r="F6" s="15"/>
      <c r="G6" s="29" t="s">
        <v>8</v>
      </c>
      <c r="H6" s="29" t="s">
        <v>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1">
        <f t="array" ref="B7:H7">요일및주+DATE(달력연도,4,1)-WEEKDAY(DATE(달력연도,4,1),(주시작="Monday")+1)+15</f>
        <v>46124</v>
      </c>
      <c r="C7" s="11">
        <v>46125.0</v>
      </c>
      <c r="D7" s="11">
        <v>46126.0</v>
      </c>
      <c r="E7" s="11">
        <v>46127.0</v>
      </c>
      <c r="F7" s="11">
        <v>46128.0</v>
      </c>
      <c r="G7" s="11">
        <v>46129.0</v>
      </c>
      <c r="H7" s="11">
        <v>46130.0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7.75" customHeight="1">
      <c r="A8" s="1"/>
      <c r="B8" s="29" t="s">
        <v>10</v>
      </c>
      <c r="C8" s="1"/>
      <c r="D8" s="1"/>
      <c r="E8" s="27" t="s">
        <v>11</v>
      </c>
      <c r="F8" s="1" t="s">
        <v>12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26">
        <f t="array" ref="B9:H9">요일및주+DATE(달력연도,4,1)-WEEKDAY(DATE(달력연도,4,1),(주시작="Monday")+1)+22</f>
        <v>46131</v>
      </c>
      <c r="C9" s="26">
        <v>46132.0</v>
      </c>
      <c r="D9" s="26">
        <v>46133.0</v>
      </c>
      <c r="E9" s="26">
        <v>46134.0</v>
      </c>
      <c r="F9" s="26">
        <v>46135.0</v>
      </c>
      <c r="G9" s="26">
        <v>46136.0</v>
      </c>
      <c r="H9" s="26">
        <v>46137.0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7.75" customHeight="1">
      <c r="A10" s="1"/>
      <c r="B10" s="29" t="s">
        <v>13</v>
      </c>
      <c r="C10" s="15"/>
      <c r="D10" s="15"/>
      <c r="E10" s="29" t="s">
        <v>14</v>
      </c>
      <c r="F10" s="15"/>
      <c r="G10" s="29" t="s">
        <v>15</v>
      </c>
      <c r="H10" s="29" t="s">
        <v>16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1">
        <f t="array" ref="B11:H11">요일및주+DATE(달력연도,4,1)-WEEKDAY(DATE(달력연도,4,1),(주시작="Monday")+1)+29</f>
        <v>46138</v>
      </c>
      <c r="C11" s="11">
        <v>46139.0</v>
      </c>
      <c r="D11" s="11">
        <v>46140.0</v>
      </c>
      <c r="E11" s="11">
        <v>46141.0</v>
      </c>
      <c r="F11" s="11">
        <v>46142.0</v>
      </c>
      <c r="G11" s="11">
        <v>46143.0</v>
      </c>
      <c r="H11" s="11">
        <v>46144.0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7.75" customHeight="1">
      <c r="A12" s="1"/>
      <c r="B12" s="29" t="s">
        <v>17</v>
      </c>
      <c r="C12" s="1"/>
      <c r="D12" s="27" t="s">
        <v>18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26">
        <f t="array" ref="B13:C13">요일및주+DATE(달력연도,4,1)-WEEKDAY(DATE(달력연도,4,1),(주시작="Monday")+1)+36</f>
        <v>46145</v>
      </c>
      <c r="C13" s="26">
        <v>46146.0</v>
      </c>
      <c r="D13" s="17" t="s">
        <v>4</v>
      </c>
      <c r="E13" s="18"/>
      <c r="F13" s="19"/>
      <c r="G13" s="19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7.75" customHeight="1">
      <c r="A14" s="1"/>
      <c r="B14" s="15"/>
      <c r="C14" s="15"/>
      <c r="D14" s="21"/>
      <c r="E14" s="22"/>
      <c r="F14" s="23"/>
      <c r="G14" s="23"/>
      <c r="H14" s="2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D13:D14"/>
    <mergeCell ref="E13:H14"/>
  </mergeCells>
  <conditionalFormatting sqref="B11:H11 B13:C13">
    <cfRule type="expression" dxfId="0" priority="1">
      <formula>AND(DAY(B11)&gt;=1,DAY(B11)&lt;=15)</formula>
    </cfRule>
  </conditionalFormatting>
  <conditionalFormatting sqref="B3:G3">
    <cfRule type="expression" dxfId="0" priority="2">
      <formula>DAY(B3)&gt;8</formula>
    </cfRule>
  </conditionalFormatting>
  <printOptions horizontalCentered="1" verticalCentered="1"/>
  <pageMargins bottom="0.75" footer="0.0" header="0.0" left="0.7" right="0.7" top="0.75"/>
  <pageSetup paperSize="9" orientation="landscape"/>
  <headerFooter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E0A3"/>
    <pageSetUpPr fitToPage="1"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6.0"/>
    <col customWidth="1" min="3" max="8" width="15.38"/>
    <col customWidth="1" min="9" max="26" width="7.63"/>
  </cols>
  <sheetData>
    <row r="1" ht="59.25" customHeight="1">
      <c r="A1" s="1"/>
      <c r="B1" s="3" t="str">
        <f>"5월 "&amp;달력연도</f>
        <v>5월 2026</v>
      </c>
      <c r="C1" s="3"/>
      <c r="D1" s="3"/>
      <c r="E1" s="4"/>
      <c r="F1" s="4"/>
      <c r="G1" s="4"/>
      <c r="H1" s="2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7" t="str">
        <f>IF(주시작="일요일", "일요일","월요일")</f>
        <v>일요일</v>
      </c>
      <c r="C2" s="7" t="str">
        <f t="shared" ref="C2:H2" si="1">UPPER(TEXT(C3,"aaaa"))</f>
        <v>AAAA</v>
      </c>
      <c r="D2" s="7" t="str">
        <f t="shared" si="1"/>
        <v>AAAA</v>
      </c>
      <c r="E2" s="7" t="str">
        <f t="shared" si="1"/>
        <v>AAAA</v>
      </c>
      <c r="F2" s="7" t="str">
        <f t="shared" si="1"/>
        <v>AAAA</v>
      </c>
      <c r="G2" s="7" t="str">
        <f t="shared" si="1"/>
        <v>AAAA</v>
      </c>
      <c r="H2" s="7" t="str">
        <f t="shared" si="1"/>
        <v>AAAA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1">
        <f t="array" ref="B3:H3">요일및주+DATE(달력연도,5,1)-WEEKDAY(DATE(달력연도,5,1),(주시작="Monday")+1)+1</f>
        <v>46138</v>
      </c>
      <c r="C3" s="11">
        <v>46139.0</v>
      </c>
      <c r="D3" s="11">
        <v>46140.0</v>
      </c>
      <c r="E3" s="11">
        <v>46141.0</v>
      </c>
      <c r="F3" s="11">
        <v>46142.0</v>
      </c>
      <c r="G3" s="11">
        <v>46143.0</v>
      </c>
      <c r="H3" s="11">
        <v>46144.0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7.75" customHeight="1">
      <c r="A4" s="1"/>
      <c r="B4" s="1"/>
      <c r="C4" s="1"/>
      <c r="D4" s="1"/>
      <c r="E4" s="1"/>
      <c r="F4" s="1"/>
      <c r="G4" s="1"/>
      <c r="H4" s="1" t="s">
        <v>19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6">
        <f t="array" ref="B5:H5">요일및주+DATE(달력연도,5,1)-WEEKDAY(DATE(달력연도,5,1),(주시작="Monday")+1)+8</f>
        <v>46145</v>
      </c>
      <c r="C5" s="26">
        <v>46146.0</v>
      </c>
      <c r="D5" s="26">
        <v>46147.0</v>
      </c>
      <c r="E5" s="26">
        <v>46148.0</v>
      </c>
      <c r="F5" s="26">
        <v>46149.0</v>
      </c>
      <c r="G5" s="26">
        <v>46150.0</v>
      </c>
      <c r="H5" s="26">
        <v>46151.0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7.75" customHeight="1">
      <c r="A6" s="1"/>
      <c r="B6" s="15" t="s">
        <v>20</v>
      </c>
      <c r="C6" s="15"/>
      <c r="D6" s="15"/>
      <c r="E6" s="15"/>
      <c r="F6" s="29" t="s">
        <v>21</v>
      </c>
      <c r="G6" s="15"/>
      <c r="H6" s="1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1">
        <f t="array" ref="B7:H7">요일및주+DATE(달력연도,5,1)-WEEKDAY(DATE(달력연도,5,1),(주시작="Monday")+1)+15</f>
        <v>46152</v>
      </c>
      <c r="C7" s="11">
        <v>46153.0</v>
      </c>
      <c r="D7" s="11">
        <v>46154.0</v>
      </c>
      <c r="E7" s="11">
        <v>46155.0</v>
      </c>
      <c r="F7" s="11">
        <v>46156.0</v>
      </c>
      <c r="G7" s="11">
        <v>46157.0</v>
      </c>
      <c r="H7" s="11">
        <v>46158.0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7.75" customHeight="1">
      <c r="A8" s="1"/>
      <c r="B8" s="1"/>
      <c r="C8" s="1"/>
      <c r="D8" s="27" t="s">
        <v>22</v>
      </c>
      <c r="E8" s="27" t="s">
        <v>22</v>
      </c>
      <c r="F8" s="27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26">
        <f t="array" ref="B9:H9">요일및주+DATE(달력연도,5,1)-WEEKDAY(DATE(달력연도,5,1),(주시작="Monday")+1)+22</f>
        <v>46159</v>
      </c>
      <c r="C9" s="26">
        <v>46160.0</v>
      </c>
      <c r="D9" s="26">
        <v>46161.0</v>
      </c>
      <c r="E9" s="26">
        <v>46162.0</v>
      </c>
      <c r="F9" s="26">
        <v>46163.0</v>
      </c>
      <c r="G9" s="26">
        <v>46164.0</v>
      </c>
      <c r="H9" s="26">
        <v>46165.0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7.75" customHeight="1">
      <c r="A10" s="1"/>
      <c r="B10" s="15"/>
      <c r="C10" s="29" t="s">
        <v>24</v>
      </c>
      <c r="D10" s="29" t="s">
        <v>25</v>
      </c>
      <c r="E10" s="29" t="s">
        <v>25</v>
      </c>
      <c r="F10" s="15"/>
      <c r="G10" s="15"/>
      <c r="H10" s="29" t="s">
        <v>26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1">
        <f t="array" ref="B11:H11">요일및주+DATE(달력연도,5,1)-WEEKDAY(DATE(달력연도,5,1),(주시작="Monday")+1)+29</f>
        <v>46166</v>
      </c>
      <c r="C11" s="11">
        <v>46167.0</v>
      </c>
      <c r="D11" s="11">
        <v>46168.0</v>
      </c>
      <c r="E11" s="11">
        <v>46169.0</v>
      </c>
      <c r="F11" s="11">
        <v>46170.0</v>
      </c>
      <c r="G11" s="11">
        <v>46171.0</v>
      </c>
      <c r="H11" s="11">
        <v>46172.0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7.75" customHeight="1">
      <c r="A12" s="1"/>
      <c r="B12" s="1"/>
      <c r="C12" s="1"/>
      <c r="D12" s="1"/>
      <c r="E12" s="1"/>
      <c r="F12" s="28" t="s">
        <v>27</v>
      </c>
      <c r="G12" s="27" t="s">
        <v>28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26">
        <f t="array" ref="B13:C13">요일및주+DATE(달력연도,5,1)-WEEKDAY(DATE(달력연도,5,1),(주시작="Monday")+1)+36</f>
        <v>46173</v>
      </c>
      <c r="C13" s="26">
        <v>46174.0</v>
      </c>
      <c r="D13" s="17" t="s">
        <v>4</v>
      </c>
      <c r="E13" s="18"/>
      <c r="F13" s="19"/>
      <c r="G13" s="19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7.75" customHeight="1">
      <c r="A14" s="1"/>
      <c r="B14" s="15"/>
      <c r="C14" s="15"/>
      <c r="D14" s="21"/>
      <c r="E14" s="22"/>
      <c r="F14" s="23"/>
      <c r="G14" s="23"/>
      <c r="H14" s="2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D13:D14"/>
    <mergeCell ref="E13:H14"/>
  </mergeCells>
  <conditionalFormatting sqref="B11:H11 B13:C13">
    <cfRule type="expression" dxfId="0" priority="1">
      <formula>AND(DAY(B11)&gt;=1,DAY(B11)&lt;=15)</formula>
    </cfRule>
  </conditionalFormatting>
  <conditionalFormatting sqref="B3:G3">
    <cfRule type="expression" dxfId="0" priority="2">
      <formula>DAY(B3)&gt;8</formula>
    </cfRule>
  </conditionalFormatting>
  <printOptions horizontalCentered="1" verticalCentered="1"/>
  <pageMargins bottom="0.75" footer="0.0" header="0.0" left="0.7" right="0.7" top="0.75"/>
  <pageSetup paperSize="9" orientation="landscape"/>
  <headerFooter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EFD1"/>
    <pageSetUpPr fitToPage="1"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6.0"/>
    <col customWidth="1" min="3" max="8" width="15.38"/>
    <col customWidth="1" min="9" max="26" width="7.63"/>
  </cols>
  <sheetData>
    <row r="1" ht="59.25" customHeight="1">
      <c r="A1" s="1"/>
      <c r="B1" s="3" t="str">
        <f>"6월 "&amp;달력연도</f>
        <v>6월 2026</v>
      </c>
      <c r="C1" s="3"/>
      <c r="D1" s="3"/>
      <c r="E1" s="4"/>
      <c r="F1" s="4"/>
      <c r="G1" s="4"/>
      <c r="H1" s="2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7" t="str">
        <f>IF(주시작="일요일", "일요일","월요일")</f>
        <v>일요일</v>
      </c>
      <c r="C2" s="7" t="str">
        <f t="shared" ref="C2:H2" si="1">UPPER(TEXT(C3,"aaaa"))</f>
        <v>AAAA</v>
      </c>
      <c r="D2" s="7" t="str">
        <f t="shared" si="1"/>
        <v>AAAA</v>
      </c>
      <c r="E2" s="7" t="str">
        <f t="shared" si="1"/>
        <v>AAAA</v>
      </c>
      <c r="F2" s="7" t="str">
        <f t="shared" si="1"/>
        <v>AAAA</v>
      </c>
      <c r="G2" s="7" t="str">
        <f t="shared" si="1"/>
        <v>AAAA</v>
      </c>
      <c r="H2" s="7" t="str">
        <f t="shared" si="1"/>
        <v>AAAA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1">
        <f t="array" ref="B3:H3">요일및주+DATE(달력연도,6,1)-WEEKDAY(DATE(달력연도,6,1),(주시작="Monday")+1)+1</f>
        <v>46173</v>
      </c>
      <c r="C3" s="11">
        <v>46174.0</v>
      </c>
      <c r="D3" s="11">
        <v>46175.0</v>
      </c>
      <c r="E3" s="11">
        <v>46176.0</v>
      </c>
      <c r="F3" s="11">
        <v>46177.0</v>
      </c>
      <c r="G3" s="11">
        <v>46178.0</v>
      </c>
      <c r="H3" s="11">
        <v>46179.0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1"/>
      <c r="D4" s="1"/>
      <c r="E4" s="30" t="s">
        <v>29</v>
      </c>
      <c r="F4" s="30" t="s">
        <v>30</v>
      </c>
      <c r="G4" s="30" t="s">
        <v>31</v>
      </c>
      <c r="H4" s="30" t="s">
        <v>32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6">
        <f t="array" ref="B5:H5">요일및주+DATE(달력연도,6,1)-WEEKDAY(DATE(달력연도,6,1),(주시작="Monday")+1)+8</f>
        <v>46180</v>
      </c>
      <c r="C5" s="26">
        <v>46181.0</v>
      </c>
      <c r="D5" s="26">
        <v>46182.0</v>
      </c>
      <c r="E5" s="26">
        <v>46183.0</v>
      </c>
      <c r="F5" s="26">
        <v>46184.0</v>
      </c>
      <c r="G5" s="26">
        <v>46185.0</v>
      </c>
      <c r="H5" s="26">
        <v>46186.0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31" t="s">
        <v>33</v>
      </c>
      <c r="C6" s="15"/>
      <c r="D6" s="15"/>
      <c r="E6" s="15"/>
      <c r="F6" s="29" t="s">
        <v>34</v>
      </c>
      <c r="G6" s="29" t="s">
        <v>35</v>
      </c>
      <c r="H6" s="29" t="s">
        <v>36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1">
        <f t="array" ref="B7:H7">요일및주+DATE(달력연도,6,1)-WEEKDAY(DATE(달력연도,6,1),(주시작="Monday")+1)+15</f>
        <v>46187</v>
      </c>
      <c r="C7" s="11">
        <v>46188.0</v>
      </c>
      <c r="D7" s="11">
        <v>46189.0</v>
      </c>
      <c r="E7" s="11">
        <v>46190.0</v>
      </c>
      <c r="F7" s="11">
        <v>46191.0</v>
      </c>
      <c r="G7" s="11">
        <v>46192.0</v>
      </c>
      <c r="H7" s="11">
        <v>46193.0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7.75" customHeight="1">
      <c r="A8" s="1"/>
      <c r="B8" s="27" t="s">
        <v>37</v>
      </c>
      <c r="C8" s="28" t="s">
        <v>38</v>
      </c>
      <c r="D8" s="28" t="s">
        <v>38</v>
      </c>
      <c r="E8" s="28" t="s">
        <v>38</v>
      </c>
      <c r="F8" s="27" t="s">
        <v>39</v>
      </c>
      <c r="G8" s="32" t="s">
        <v>40</v>
      </c>
      <c r="H8" s="27" t="s">
        <v>41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26">
        <f t="array" ref="B9:H9">요일및주+DATE(달력연도,6,1)-WEEKDAY(DATE(달력연도,6,1),(주시작="Monday")+1)+22</f>
        <v>46194</v>
      </c>
      <c r="C9" s="26">
        <v>46195.0</v>
      </c>
      <c r="D9" s="26">
        <v>46196.0</v>
      </c>
      <c r="E9" s="26">
        <v>46197.0</v>
      </c>
      <c r="F9" s="26">
        <v>46198.0</v>
      </c>
      <c r="G9" s="26">
        <v>46199.0</v>
      </c>
      <c r="H9" s="26">
        <v>46200.0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7.75" customHeight="1">
      <c r="A10" s="1"/>
      <c r="B10" s="29" t="s">
        <v>42</v>
      </c>
      <c r="C10" s="33" t="s">
        <v>38</v>
      </c>
      <c r="D10" s="33" t="s">
        <v>38</v>
      </c>
      <c r="E10" s="29" t="s">
        <v>43</v>
      </c>
      <c r="F10" s="29" t="s">
        <v>44</v>
      </c>
      <c r="G10" s="33" t="s">
        <v>38</v>
      </c>
      <c r="H10" s="29" t="s">
        <v>45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1">
        <f t="array" ref="B11:H11">요일및주+DATE(달력연도,6,1)-WEEKDAY(DATE(달력연도,6,1),(주시작="Monday")+1)+29</f>
        <v>46201</v>
      </c>
      <c r="C11" s="11">
        <v>46202.0</v>
      </c>
      <c r="D11" s="11">
        <v>46203.0</v>
      </c>
      <c r="E11" s="11">
        <v>46204.0</v>
      </c>
      <c r="F11" s="11">
        <v>46205.0</v>
      </c>
      <c r="G11" s="11">
        <v>46206.0</v>
      </c>
      <c r="H11" s="11">
        <v>46207.0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7.75" customHeight="1">
      <c r="A12" s="1"/>
      <c r="B12" s="27" t="s">
        <v>46</v>
      </c>
      <c r="C12" s="28" t="s">
        <v>38</v>
      </c>
      <c r="D12" s="28" t="s">
        <v>38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26">
        <f t="array" ref="B13:C13">요일및주+DATE(달력연도,6,1)-WEEKDAY(DATE(달력연도,6,1),(주시작="Monday")+1)+36</f>
        <v>46208</v>
      </c>
      <c r="C13" s="26">
        <v>46209.0</v>
      </c>
      <c r="D13" s="17" t="s">
        <v>4</v>
      </c>
      <c r="E13" s="18"/>
      <c r="F13" s="19"/>
      <c r="G13" s="19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7.75" customHeight="1">
      <c r="A14" s="1"/>
      <c r="B14" s="15"/>
      <c r="C14" s="15"/>
      <c r="D14" s="21"/>
      <c r="E14" s="22"/>
      <c r="F14" s="23"/>
      <c r="G14" s="23"/>
      <c r="H14" s="2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D13:D14"/>
    <mergeCell ref="E13:H14"/>
  </mergeCells>
  <conditionalFormatting sqref="B11:H11 B13:C13">
    <cfRule type="expression" dxfId="0" priority="1">
      <formula>AND(DAY(B11)&gt;=1,DAY(B11)&lt;=15)</formula>
    </cfRule>
  </conditionalFormatting>
  <conditionalFormatting sqref="B3:G3">
    <cfRule type="expression" dxfId="0" priority="2">
      <formula>DAY(B3)&gt;8</formula>
    </cfRule>
  </conditionalFormatting>
  <printOptions horizontalCentered="1" verticalCentered="1"/>
  <pageMargins bottom="0.75" footer="0.0" header="0.0" left="0.7" right="0.7" top="0.75"/>
  <pageSetup paperSize="9" orientation="landscape"/>
  <headerFooter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F6F1"/>
    <pageSetUpPr fitToPage="1"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6.0"/>
    <col customWidth="1" min="3" max="8" width="15.38"/>
    <col customWidth="1" min="9" max="26" width="7.63"/>
  </cols>
  <sheetData>
    <row r="1" ht="59.25" customHeight="1">
      <c r="A1" s="1"/>
      <c r="B1" s="3" t="str">
        <f>"7월 "&amp;달력연도</f>
        <v>7월 2026</v>
      </c>
      <c r="C1" s="3"/>
      <c r="D1" s="3"/>
      <c r="E1" s="4"/>
      <c r="F1" s="4"/>
      <c r="G1" s="4"/>
      <c r="H1" s="2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7" t="str">
        <f>IF(주시작="일요일", "일요일","월요일")</f>
        <v>일요일</v>
      </c>
      <c r="C2" s="7" t="str">
        <f t="shared" ref="C2:H2" si="1">UPPER(TEXT(C3,"aaaa"))</f>
        <v>AAAA</v>
      </c>
      <c r="D2" s="7" t="str">
        <f t="shared" si="1"/>
        <v>AAAA</v>
      </c>
      <c r="E2" s="7" t="str">
        <f t="shared" si="1"/>
        <v>AAAA</v>
      </c>
      <c r="F2" s="7" t="str">
        <f t="shared" si="1"/>
        <v>AAAA</v>
      </c>
      <c r="G2" s="7" t="str">
        <f t="shared" si="1"/>
        <v>AAAA</v>
      </c>
      <c r="H2" s="7" t="str">
        <f t="shared" si="1"/>
        <v>AAAA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1">
        <f t="array" ref="B3:H3">요일및주+DATE(달력연도,7,1)-WEEKDAY(DATE(달력연도,7,1),(주시작="Monday")+1)+1</f>
        <v>46201</v>
      </c>
      <c r="C3" s="11">
        <v>46202.0</v>
      </c>
      <c r="D3" s="11">
        <v>46203.0</v>
      </c>
      <c r="E3" s="11">
        <v>46204.0</v>
      </c>
      <c r="F3" s="11">
        <v>46205.0</v>
      </c>
      <c r="G3" s="11">
        <v>46206.0</v>
      </c>
      <c r="H3" s="11">
        <v>46207.0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1"/>
      <c r="D4" s="1"/>
      <c r="E4" s="27" t="s">
        <v>47</v>
      </c>
      <c r="F4" s="27" t="s">
        <v>48</v>
      </c>
      <c r="G4" s="27" t="s">
        <v>49</v>
      </c>
      <c r="H4" s="27" t="s">
        <v>37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6">
        <f t="array" ref="B5:H5">요일및주+DATE(달력연도,7,1)-WEEKDAY(DATE(달력연도,7,1),(주시작="Monday")+1)+8</f>
        <v>46208</v>
      </c>
      <c r="C5" s="26">
        <v>46209.0</v>
      </c>
      <c r="D5" s="26">
        <v>46210.0</v>
      </c>
      <c r="E5" s="26">
        <v>46211.0</v>
      </c>
      <c r="F5" s="26">
        <v>46212.0</v>
      </c>
      <c r="G5" s="26">
        <v>46213.0</v>
      </c>
      <c r="H5" s="26">
        <v>46214.0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7.75" customHeight="1">
      <c r="A6" s="1"/>
      <c r="B6" s="29" t="s">
        <v>37</v>
      </c>
      <c r="C6" s="33" t="s">
        <v>38</v>
      </c>
      <c r="D6" s="33" t="s">
        <v>38</v>
      </c>
      <c r="E6" s="33" t="s">
        <v>38</v>
      </c>
      <c r="F6" s="29" t="s">
        <v>50</v>
      </c>
      <c r="G6" s="29" t="s">
        <v>51</v>
      </c>
      <c r="H6" s="29" t="s">
        <v>52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1">
        <f t="array" ref="B7:H7">요일및주+DATE(달력연도,7,1)-WEEKDAY(DATE(달력연도,7,1),(주시작="Monday")+1)+15</f>
        <v>46215</v>
      </c>
      <c r="C7" s="11">
        <v>46216.0</v>
      </c>
      <c r="D7" s="11">
        <v>46217.0</v>
      </c>
      <c r="E7" s="11">
        <v>46218.0</v>
      </c>
      <c r="F7" s="11">
        <v>46219.0</v>
      </c>
      <c r="G7" s="11">
        <v>46220.0</v>
      </c>
      <c r="H7" s="11">
        <v>46221.0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7.75" customHeight="1">
      <c r="A8" s="1"/>
      <c r="B8" s="27" t="s">
        <v>37</v>
      </c>
      <c r="C8" s="28" t="s">
        <v>38</v>
      </c>
      <c r="D8" s="28" t="s">
        <v>38</v>
      </c>
      <c r="E8" s="28" t="s">
        <v>38</v>
      </c>
      <c r="F8" s="28" t="s">
        <v>38</v>
      </c>
      <c r="G8" s="27" t="s">
        <v>53</v>
      </c>
      <c r="H8" s="27" t="s">
        <v>54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26">
        <f t="array" ref="B9:H9">요일및주+DATE(달력연도,7,1)-WEEKDAY(DATE(달력연도,7,1),(주시작="Monday")+1)+22</f>
        <v>46222</v>
      </c>
      <c r="C9" s="26">
        <v>46223.0</v>
      </c>
      <c r="D9" s="26">
        <v>46224.0</v>
      </c>
      <c r="E9" s="26">
        <v>46225.0</v>
      </c>
      <c r="F9" s="26">
        <v>46226.0</v>
      </c>
      <c r="G9" s="26">
        <v>46227.0</v>
      </c>
      <c r="H9" s="26">
        <v>46228.0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7.75" customHeight="1">
      <c r="A10" s="1"/>
      <c r="B10" s="29" t="s">
        <v>55</v>
      </c>
      <c r="C10" s="15"/>
      <c r="D10" s="15"/>
      <c r="E10" s="15"/>
      <c r="F10" s="15"/>
      <c r="G10" s="31" t="s">
        <v>56</v>
      </c>
      <c r="H10" s="31" t="s">
        <v>57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1">
        <f t="array" ref="B11:H11">요일및주+DATE(달력연도,7,1)-WEEKDAY(DATE(달력연도,7,1),(주시작="Monday")+1)+29</f>
        <v>46229</v>
      </c>
      <c r="C11" s="11">
        <v>46230.0</v>
      </c>
      <c r="D11" s="11">
        <v>46231.0</v>
      </c>
      <c r="E11" s="11">
        <v>46232.0</v>
      </c>
      <c r="F11" s="11">
        <v>46233.0</v>
      </c>
      <c r="G11" s="11">
        <v>46234.0</v>
      </c>
      <c r="H11" s="11">
        <v>46235.0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7.75" customHeight="1">
      <c r="A12" s="1"/>
      <c r="B12" s="30" t="s">
        <v>58</v>
      </c>
      <c r="C12" s="1"/>
      <c r="D12" s="1"/>
      <c r="E12" s="1"/>
      <c r="F12" s="1"/>
      <c r="G12" s="27" t="s">
        <v>59</v>
      </c>
      <c r="H12" s="27" t="s">
        <v>60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26">
        <f t="array" ref="B13:C13">요일및주+DATE(달력연도,7,1)-WEEKDAY(DATE(달력연도,7,1),(주시작="Monday")+1)+36</f>
        <v>46236</v>
      </c>
      <c r="C13" s="26">
        <v>46237.0</v>
      </c>
      <c r="D13" s="17" t="s">
        <v>4</v>
      </c>
      <c r="E13" s="18"/>
      <c r="F13" s="19"/>
      <c r="G13" s="19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7.75" customHeight="1">
      <c r="A14" s="1"/>
      <c r="B14" s="15"/>
      <c r="C14" s="15"/>
      <c r="D14" s="21"/>
      <c r="E14" s="22"/>
      <c r="F14" s="23"/>
      <c r="G14" s="23"/>
      <c r="H14" s="2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D13:D14"/>
    <mergeCell ref="E13:H14"/>
  </mergeCells>
  <conditionalFormatting sqref="B11:H11 B13:C13">
    <cfRule type="expression" dxfId="0" priority="1">
      <formula>AND(DAY(B11)&gt;=1,DAY(B11)&lt;=15)</formula>
    </cfRule>
  </conditionalFormatting>
  <conditionalFormatting sqref="B3:G3">
    <cfRule type="expression" dxfId="0" priority="2">
      <formula>DAY(B3)&gt;8</formula>
    </cfRule>
  </conditionalFormatting>
  <printOptions horizontalCentered="1" verticalCentered="1"/>
  <pageMargins bottom="0.75" footer="0.0" header="0.0" left="0.7" right="0.7" top="0.75"/>
  <pageSetup paperSize="9" orientation="landscape"/>
  <headerFooter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2D3"/>
    <pageSetUpPr fitToPage="1"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6.0"/>
    <col customWidth="1" min="3" max="8" width="15.38"/>
    <col customWidth="1" min="9" max="26" width="7.63"/>
  </cols>
  <sheetData>
    <row r="1" ht="59.25" customHeight="1">
      <c r="A1" s="1"/>
      <c r="B1" s="3" t="str">
        <f>"8월 "&amp;달력연도</f>
        <v>8월 2026</v>
      </c>
      <c r="C1" s="3"/>
      <c r="D1" s="3"/>
      <c r="E1" s="4"/>
      <c r="F1" s="4"/>
      <c r="G1" s="4"/>
      <c r="H1" s="2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7" t="str">
        <f>IF(주시작="일요일", "일요일","월요일")</f>
        <v>일요일</v>
      </c>
      <c r="C2" s="7" t="str">
        <f t="shared" ref="C2:H2" si="1">UPPER(TEXT(C3,"aaaa"))</f>
        <v>AAAA</v>
      </c>
      <c r="D2" s="7" t="str">
        <f t="shared" si="1"/>
        <v>AAAA</v>
      </c>
      <c r="E2" s="7" t="str">
        <f t="shared" si="1"/>
        <v>AAAA</v>
      </c>
      <c r="F2" s="7" t="str">
        <f t="shared" si="1"/>
        <v>AAAA</v>
      </c>
      <c r="G2" s="7" t="str">
        <f t="shared" si="1"/>
        <v>AAAA</v>
      </c>
      <c r="H2" s="7" t="str">
        <f t="shared" si="1"/>
        <v>AAAA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1">
        <f t="array" ref="B3:H3">요일및주+DATE(달력연도,8,1)-WEEKDAY(DATE(달력연도,8,1),(주시작="Monday")+1)+1</f>
        <v>46229</v>
      </c>
      <c r="C3" s="11">
        <v>46230.0</v>
      </c>
      <c r="D3" s="11">
        <v>46231.0</v>
      </c>
      <c r="E3" s="11">
        <v>46232.0</v>
      </c>
      <c r="F3" s="11">
        <v>46233.0</v>
      </c>
      <c r="G3" s="11">
        <v>46234.0</v>
      </c>
      <c r="H3" s="11">
        <v>46235.0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7.75" customHeight="1">
      <c r="A4" s="1"/>
      <c r="B4" s="1"/>
      <c r="C4" s="1"/>
      <c r="D4" s="1"/>
      <c r="E4" s="1"/>
      <c r="F4" s="1"/>
      <c r="G4" s="1"/>
      <c r="H4" s="27" t="s">
        <v>61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6">
        <f t="array" ref="B5:H5">요일및주+DATE(달력연도,8,1)-WEEKDAY(DATE(달력연도,8,1),(주시작="Monday")+1)+8</f>
        <v>46236</v>
      </c>
      <c r="C5" s="26">
        <v>46237.0</v>
      </c>
      <c r="D5" s="26">
        <v>46238.0</v>
      </c>
      <c r="E5" s="26">
        <v>46239.0</v>
      </c>
      <c r="F5" s="26">
        <v>46240.0</v>
      </c>
      <c r="G5" s="26">
        <v>46241.0</v>
      </c>
      <c r="H5" s="26">
        <v>46242.0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7.75" customHeight="1">
      <c r="A6" s="1"/>
      <c r="B6" s="29" t="s">
        <v>62</v>
      </c>
      <c r="C6" s="29" t="s">
        <v>63</v>
      </c>
      <c r="D6" s="33" t="s">
        <v>64</v>
      </c>
      <c r="E6" s="33" t="s">
        <v>64</v>
      </c>
      <c r="F6" s="33" t="s">
        <v>64</v>
      </c>
      <c r="G6" s="29" t="s">
        <v>65</v>
      </c>
      <c r="H6" s="34" t="s">
        <v>66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1">
        <f t="array" ref="B7:H7">요일및주+DATE(달력연도,8,1)-WEEKDAY(DATE(달력연도,8,1),(주시작="Monday")+1)+15</f>
        <v>46243</v>
      </c>
      <c r="C7" s="11">
        <v>46244.0</v>
      </c>
      <c r="D7" s="11">
        <v>46245.0</v>
      </c>
      <c r="E7" s="11">
        <v>46246.0</v>
      </c>
      <c r="F7" s="11">
        <v>46247.0</v>
      </c>
      <c r="G7" s="11">
        <v>46248.0</v>
      </c>
      <c r="H7" s="11">
        <v>46249.0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7.75" customHeight="1">
      <c r="A8" s="1"/>
      <c r="B8" s="27" t="s">
        <v>67</v>
      </c>
      <c r="C8" s="1"/>
      <c r="D8" s="1"/>
      <c r="E8" s="1"/>
      <c r="F8" s="1"/>
      <c r="G8" s="1"/>
      <c r="H8" s="35" t="s">
        <v>68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26">
        <f t="array" ref="B9:H9">요일및주+DATE(달력연도,8,1)-WEEKDAY(DATE(달력연도,8,1),(주시작="Monday")+1)+22</f>
        <v>46250</v>
      </c>
      <c r="C9" s="26">
        <v>46251.0</v>
      </c>
      <c r="D9" s="26">
        <v>46252.0</v>
      </c>
      <c r="E9" s="26">
        <v>46253.0</v>
      </c>
      <c r="F9" s="26">
        <v>46254.0</v>
      </c>
      <c r="G9" s="26">
        <v>46255.0</v>
      </c>
      <c r="H9" s="26">
        <v>46256.0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7.75" customHeight="1">
      <c r="A10" s="1"/>
      <c r="B10" s="31" t="s">
        <v>69</v>
      </c>
      <c r="C10" s="15"/>
      <c r="D10" s="15"/>
      <c r="E10" s="15"/>
      <c r="F10" s="15"/>
      <c r="G10" s="15"/>
      <c r="H10" s="29" t="s">
        <v>70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1">
        <f t="array" ref="B11:H11">요일및주+DATE(달력연도,8,1)-WEEKDAY(DATE(달력연도,8,1),(주시작="Monday")+1)+29</f>
        <v>46257</v>
      </c>
      <c r="C11" s="11">
        <v>46258.0</v>
      </c>
      <c r="D11" s="11">
        <v>46259.0</v>
      </c>
      <c r="E11" s="11">
        <v>46260.0</v>
      </c>
      <c r="F11" s="11">
        <v>46261.0</v>
      </c>
      <c r="G11" s="11">
        <v>46262.0</v>
      </c>
      <c r="H11" s="11">
        <v>46263.0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7.75" customHeight="1">
      <c r="A12" s="1"/>
      <c r="B12" s="28" t="s">
        <v>71</v>
      </c>
      <c r="C12" s="28" t="s">
        <v>71</v>
      </c>
      <c r="D12" s="28" t="s">
        <v>71</v>
      </c>
      <c r="E12" s="28" t="s">
        <v>71</v>
      </c>
      <c r="F12" s="28" t="s">
        <v>71</v>
      </c>
      <c r="G12" s="27" t="s">
        <v>72</v>
      </c>
      <c r="H12" s="27" t="s">
        <v>73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26">
        <f t="array" ref="B13:C13">요일및주+DATE(달력연도,8,1)-WEEKDAY(DATE(달력연도,8,1),(주시작="Monday")+1)+36</f>
        <v>46264</v>
      </c>
      <c r="C13" s="26">
        <v>46265.0</v>
      </c>
      <c r="D13" s="17" t="s">
        <v>4</v>
      </c>
      <c r="E13" s="18"/>
      <c r="F13" s="19"/>
      <c r="G13" s="19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7.75" customHeight="1">
      <c r="A14" s="1"/>
      <c r="B14" s="33" t="s">
        <v>71</v>
      </c>
      <c r="C14" s="33" t="s">
        <v>71</v>
      </c>
      <c r="D14" s="21"/>
      <c r="E14" s="22"/>
      <c r="F14" s="23"/>
      <c r="G14" s="23"/>
      <c r="H14" s="2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D13:D14"/>
    <mergeCell ref="E13:H14"/>
  </mergeCells>
  <conditionalFormatting sqref="B11:H11 B13:C13">
    <cfRule type="expression" dxfId="0" priority="1">
      <formula>AND(DAY(B11)&gt;=1,DAY(B11)&lt;=15)</formula>
    </cfRule>
  </conditionalFormatting>
  <conditionalFormatting sqref="B3:G3">
    <cfRule type="expression" dxfId="0" priority="2">
      <formula>DAY(B3)&gt;8</formula>
    </cfRule>
  </conditionalFormatting>
  <printOptions horizontalCentered="1" verticalCentered="1"/>
  <pageMargins bottom="0.75" footer="0.0" header="0.0" left="0.7" right="0.7" top="0.75"/>
  <pageSetup paperSize="9" orientation="landscape"/>
  <headerFooter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C6A6"/>
    <pageSetUpPr fitToPage="1"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6.0"/>
    <col customWidth="1" min="3" max="8" width="15.38"/>
    <col customWidth="1" min="9" max="26" width="7.63"/>
  </cols>
  <sheetData>
    <row r="1" ht="59.25" customHeight="1">
      <c r="A1" s="1"/>
      <c r="B1" s="3" t="str">
        <f>"9월 "&amp;달력연도</f>
        <v>9월 2026</v>
      </c>
      <c r="C1" s="3"/>
      <c r="D1" s="3"/>
      <c r="E1" s="4"/>
      <c r="F1" s="4"/>
      <c r="G1" s="4"/>
      <c r="H1" s="2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7" t="str">
        <f>IF(주시작="일요일", "일요일","월요일")</f>
        <v>일요일</v>
      </c>
      <c r="C2" s="7" t="str">
        <f t="shared" ref="C2:H2" si="1">UPPER(TEXT(C3,"aaaa"))</f>
        <v>AAAA</v>
      </c>
      <c r="D2" s="7" t="str">
        <f t="shared" si="1"/>
        <v>AAAA</v>
      </c>
      <c r="E2" s="7" t="str">
        <f t="shared" si="1"/>
        <v>AAAA</v>
      </c>
      <c r="F2" s="7" t="str">
        <f t="shared" si="1"/>
        <v>AAAA</v>
      </c>
      <c r="G2" s="7" t="str">
        <f t="shared" si="1"/>
        <v>AAAA</v>
      </c>
      <c r="H2" s="7" t="str">
        <f t="shared" si="1"/>
        <v>AAAA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1">
        <f t="array" ref="B3:H3">요일및주+DATE(달력연도,9,1)-WEEKDAY(DATE(달력연도,9,1),(주시작="Monday")+1)+1</f>
        <v>46264</v>
      </c>
      <c r="C3" s="11">
        <v>46265.0</v>
      </c>
      <c r="D3" s="11">
        <v>46266.0</v>
      </c>
      <c r="E3" s="11">
        <v>46267.0</v>
      </c>
      <c r="F3" s="11">
        <v>46268.0</v>
      </c>
      <c r="G3" s="11">
        <v>46269.0</v>
      </c>
      <c r="H3" s="11">
        <v>46270.0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7.75" customHeight="1">
      <c r="A4" s="1"/>
      <c r="B4" s="1"/>
      <c r="C4" s="1"/>
      <c r="D4" s="28" t="s">
        <v>71</v>
      </c>
      <c r="E4" s="28" t="s">
        <v>71</v>
      </c>
      <c r="F4" s="28" t="s">
        <v>71</v>
      </c>
      <c r="G4" s="28" t="s">
        <v>71</v>
      </c>
      <c r="H4" s="27" t="s">
        <v>74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6">
        <f t="array" ref="B5:H5">요일및주+DATE(달력연도,9,1)-WEEKDAY(DATE(달력연도,9,1),(주시작="Monday")+1)+8</f>
        <v>46271</v>
      </c>
      <c r="C5" s="26">
        <v>46272.0</v>
      </c>
      <c r="D5" s="26">
        <v>46273.0</v>
      </c>
      <c r="E5" s="26">
        <v>46274.0</v>
      </c>
      <c r="F5" s="26">
        <v>46275.0</v>
      </c>
      <c r="G5" s="26">
        <v>46276.0</v>
      </c>
      <c r="H5" s="26">
        <v>46277.0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7.75" customHeight="1">
      <c r="A6" s="1"/>
      <c r="B6" s="36" t="s">
        <v>75</v>
      </c>
      <c r="C6" s="15"/>
      <c r="D6" s="15"/>
      <c r="E6" s="15"/>
      <c r="F6" s="29" t="s">
        <v>76</v>
      </c>
      <c r="G6" s="15"/>
      <c r="H6" s="3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1">
        <f t="array" ref="B7:H7">요일및주+DATE(달력연도,9,1)-WEEKDAY(DATE(달력연도,9,1),(주시작="Monday")+1)+15</f>
        <v>46278</v>
      </c>
      <c r="C7" s="11">
        <v>46279.0</v>
      </c>
      <c r="D7" s="11">
        <v>46280.0</v>
      </c>
      <c r="E7" s="11">
        <v>46281.0</v>
      </c>
      <c r="F7" s="11">
        <v>46282.0</v>
      </c>
      <c r="G7" s="11">
        <v>46283.0</v>
      </c>
      <c r="H7" s="11">
        <v>46284.0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7.75" customHeight="1">
      <c r="A8" s="1"/>
      <c r="B8" s="35" t="s">
        <v>77</v>
      </c>
      <c r="C8" s="1"/>
      <c r="D8" s="1"/>
      <c r="E8" s="1"/>
      <c r="F8" s="1"/>
      <c r="G8" s="1"/>
      <c r="H8" s="35" t="s">
        <v>78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26">
        <f t="array" ref="B9:H9">요일및주+DATE(달력연도,9,1)-WEEKDAY(DATE(달력연도,9,1),(주시작="Monday")+1)+22</f>
        <v>46285</v>
      </c>
      <c r="C9" s="26">
        <v>46286.0</v>
      </c>
      <c r="D9" s="26">
        <v>46287.0</v>
      </c>
      <c r="E9" s="26">
        <v>46288.0</v>
      </c>
      <c r="F9" s="26">
        <v>46289.0</v>
      </c>
      <c r="G9" s="26">
        <v>46290.0</v>
      </c>
      <c r="H9" s="26">
        <v>46291.0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7.75" customHeight="1">
      <c r="A10" s="1"/>
      <c r="B10" s="15"/>
      <c r="C10" s="15"/>
      <c r="D10" s="15"/>
      <c r="E10" s="15"/>
      <c r="F10" s="15"/>
      <c r="G10" s="15"/>
      <c r="H10" s="1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1">
        <f t="array" ref="B11:H11">요일및주+DATE(달력연도,9,1)-WEEKDAY(DATE(달력연도,9,1),(주시작="Monday")+1)+29</f>
        <v>46292</v>
      </c>
      <c r="C11" s="11">
        <v>46293.0</v>
      </c>
      <c r="D11" s="11">
        <v>46294.0</v>
      </c>
      <c r="E11" s="11">
        <v>46295.0</v>
      </c>
      <c r="F11" s="11">
        <v>46296.0</v>
      </c>
      <c r="G11" s="11">
        <v>46297.0</v>
      </c>
      <c r="H11" s="11">
        <v>46298.0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7.75" customHeight="1">
      <c r="A12" s="1"/>
      <c r="B12" s="1"/>
      <c r="C12" s="1"/>
      <c r="D12" s="1"/>
      <c r="E12" s="3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26">
        <f t="array" ref="B13:C13">요일및주+DATE(달력연도,9,1)-WEEKDAY(DATE(달력연도,9,1),(주시작="Monday")+1)+36</f>
        <v>46299</v>
      </c>
      <c r="C13" s="26">
        <v>46300.0</v>
      </c>
      <c r="D13" s="17" t="s">
        <v>4</v>
      </c>
      <c r="E13" s="18"/>
      <c r="F13" s="19"/>
      <c r="G13" s="19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7.75" customHeight="1">
      <c r="A14" s="1"/>
      <c r="B14" s="15"/>
      <c r="C14" s="15"/>
      <c r="D14" s="21"/>
      <c r="E14" s="22"/>
      <c r="F14" s="23"/>
      <c r="G14" s="23"/>
      <c r="H14" s="2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D13:D14"/>
    <mergeCell ref="E13:H14"/>
  </mergeCells>
  <conditionalFormatting sqref="B11:H11 B13:C13">
    <cfRule type="expression" dxfId="0" priority="1">
      <formula>AND(DAY(B11)&gt;=1,DAY(B11)&lt;=15)</formula>
    </cfRule>
  </conditionalFormatting>
  <conditionalFormatting sqref="B3:G3">
    <cfRule type="expression" dxfId="0" priority="2">
      <formula>DAY(B3)&gt;8</formula>
    </cfRule>
  </conditionalFormatting>
  <printOptions horizontalCentered="1" verticalCentered="1"/>
  <pageMargins bottom="0.75" footer="0.0" header="0.0" left="0.7" right="0.7" top="0.75"/>
  <pageSetup paperSize="9" orientation="landscape"/>
  <headerFooter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4945F"/>
    <pageSetUpPr fitToPage="1"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6.0"/>
    <col customWidth="1" min="3" max="8" width="15.38"/>
    <col customWidth="1" min="9" max="26" width="7.63"/>
  </cols>
  <sheetData>
    <row r="1" ht="59.25" customHeight="1">
      <c r="A1" s="1"/>
      <c r="B1" s="3" t="str">
        <f>"10월 "&amp;달력연도</f>
        <v>10월 2026</v>
      </c>
      <c r="C1" s="3"/>
      <c r="D1" s="3"/>
      <c r="E1" s="4"/>
      <c r="F1" s="4"/>
      <c r="G1" s="4"/>
      <c r="H1" s="2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7" t="str">
        <f>IF(주시작="일요일", "일요일","월요일")</f>
        <v>일요일</v>
      </c>
      <c r="C2" s="7" t="str">
        <f t="shared" ref="C2:H2" si="1">UPPER(TEXT(C3,"aaaa"))</f>
        <v>AAAA</v>
      </c>
      <c r="D2" s="7" t="str">
        <f t="shared" si="1"/>
        <v>AAAA</v>
      </c>
      <c r="E2" s="7" t="str">
        <f t="shared" si="1"/>
        <v>AAAA</v>
      </c>
      <c r="F2" s="7" t="str">
        <f t="shared" si="1"/>
        <v>AAAA</v>
      </c>
      <c r="G2" s="7" t="str">
        <f t="shared" si="1"/>
        <v>AAAA</v>
      </c>
      <c r="H2" s="7" t="str">
        <f t="shared" si="1"/>
        <v>AAAA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1">
        <f t="array" ref="B3:H3">요일및주+DATE(달력연도,10,1)-WEEKDAY(DATE(달력연도,10,1),(주시작="Monday")+1)+1</f>
        <v>46292</v>
      </c>
      <c r="C3" s="11">
        <v>46293.0</v>
      </c>
      <c r="D3" s="11">
        <v>46294.0</v>
      </c>
      <c r="E3" s="11">
        <v>46295.0</v>
      </c>
      <c r="F3" s="11">
        <v>46296.0</v>
      </c>
      <c r="G3" s="11">
        <v>46297.0</v>
      </c>
      <c r="H3" s="11">
        <v>46298.0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7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6">
        <f t="array" ref="B5:H5">요일및주+DATE(달력연도,10,1)-WEEKDAY(DATE(달력연도,10,1),(주시작="Monday")+1)+8</f>
        <v>46299</v>
      </c>
      <c r="C5" s="26">
        <v>46300.0</v>
      </c>
      <c r="D5" s="26">
        <v>46301.0</v>
      </c>
      <c r="E5" s="26">
        <v>46302.0</v>
      </c>
      <c r="F5" s="26">
        <v>46303.0</v>
      </c>
      <c r="G5" s="26">
        <v>46304.0</v>
      </c>
      <c r="H5" s="26">
        <v>46305.0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7.75" customHeight="1">
      <c r="A6" s="1"/>
      <c r="B6" s="15"/>
      <c r="C6" s="15"/>
      <c r="D6" s="15"/>
      <c r="E6" s="15"/>
      <c r="F6" s="33" t="s">
        <v>79</v>
      </c>
      <c r="G6" s="15"/>
      <c r="H6" s="1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1">
        <f t="array" ref="B7:H7">요일및주+DATE(달력연도,10,1)-WEEKDAY(DATE(달력연도,10,1),(주시작="Monday")+1)+15</f>
        <v>46306</v>
      </c>
      <c r="C7" s="11">
        <v>46307.0</v>
      </c>
      <c r="D7" s="11">
        <v>46308.0</v>
      </c>
      <c r="E7" s="11">
        <v>46309.0</v>
      </c>
      <c r="F7" s="11">
        <v>46310.0</v>
      </c>
      <c r="G7" s="11">
        <v>46311.0</v>
      </c>
      <c r="H7" s="11">
        <v>46312.0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7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26">
        <f t="array" ref="B9:H9">요일및주+DATE(달력연도,10,1)-WEEKDAY(DATE(달력연도,10,1),(주시작="Monday")+1)+22</f>
        <v>46313</v>
      </c>
      <c r="C9" s="26">
        <v>46314.0</v>
      </c>
      <c r="D9" s="26">
        <v>46315.0</v>
      </c>
      <c r="E9" s="26">
        <v>46316.0</v>
      </c>
      <c r="F9" s="26">
        <v>46317.0</v>
      </c>
      <c r="G9" s="26">
        <v>46318.0</v>
      </c>
      <c r="H9" s="26">
        <v>46319.0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7.75" customHeight="1">
      <c r="A10" s="1"/>
      <c r="B10" s="15"/>
      <c r="C10" s="15"/>
      <c r="D10" s="15"/>
      <c r="E10" s="15"/>
      <c r="F10" s="15"/>
      <c r="G10" s="15"/>
      <c r="H10" s="1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1">
        <f t="array" ref="B11:H11">요일및주+DATE(달력연도,10,1)-WEEKDAY(DATE(달력연도,10,1),(주시작="Monday")+1)+29</f>
        <v>46320</v>
      </c>
      <c r="C11" s="11">
        <v>46321.0</v>
      </c>
      <c r="D11" s="11">
        <v>46322.0</v>
      </c>
      <c r="E11" s="11">
        <v>46323.0</v>
      </c>
      <c r="F11" s="11">
        <v>46324.0</v>
      </c>
      <c r="G11" s="11">
        <v>46325.0</v>
      </c>
      <c r="H11" s="11">
        <v>46326.0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7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26">
        <f t="array" ref="B13:C13">요일및주+DATE(달력연도,10,1)-WEEKDAY(DATE(달력연도,10,1),(주시작="Monday")+1)+36</f>
        <v>46327</v>
      </c>
      <c r="C13" s="26">
        <v>46328.0</v>
      </c>
      <c r="D13" s="17" t="s">
        <v>4</v>
      </c>
      <c r="E13" s="18"/>
      <c r="F13" s="19"/>
      <c r="G13" s="19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7.75" customHeight="1">
      <c r="A14" s="1"/>
      <c r="B14" s="15"/>
      <c r="C14" s="15"/>
      <c r="D14" s="21"/>
      <c r="E14" s="22"/>
      <c r="F14" s="23"/>
      <c r="G14" s="23"/>
      <c r="H14" s="2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D13:D14"/>
    <mergeCell ref="E13:H14"/>
  </mergeCells>
  <conditionalFormatting sqref="B11:H11 B13:C13">
    <cfRule type="expression" dxfId="0" priority="1">
      <formula>AND(DAY(B11)&gt;=1,DAY(B11)&lt;=15)</formula>
    </cfRule>
  </conditionalFormatting>
  <conditionalFormatting sqref="B3:G3">
    <cfRule type="expression" dxfId="0" priority="2">
      <formula>DAY(B3)&gt;8</formula>
    </cfRule>
  </conditionalFormatting>
  <printOptions horizontalCentered="1" verticalCentered="1"/>
  <pageMargins bottom="0.75" footer="0.0" header="0.0" left="0.7" right="0.7" top="0.75"/>
  <pageSetup paperSize="9" orientation="landscape"/>
  <headerFooter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1D13"/>
    <pageSetUpPr fitToPage="1"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6.0"/>
    <col customWidth="1" min="3" max="8" width="15.38"/>
    <col customWidth="1" min="9" max="26" width="7.63"/>
  </cols>
  <sheetData>
    <row r="1" ht="59.25" customHeight="1">
      <c r="A1" s="1"/>
      <c r="B1" s="3" t="str">
        <f>"11월 "&amp;달력연도</f>
        <v>11월 2026</v>
      </c>
      <c r="C1" s="3"/>
      <c r="D1" s="3"/>
      <c r="E1" s="4"/>
      <c r="F1" s="4"/>
      <c r="G1" s="4"/>
      <c r="H1" s="2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7" t="str">
        <f>IF(주시작="일요일", "일요일","월요일")</f>
        <v>일요일</v>
      </c>
      <c r="C2" s="7" t="str">
        <f t="shared" ref="C2:H2" si="1">UPPER(TEXT(C3,"aaaa"))</f>
        <v>AAAA</v>
      </c>
      <c r="D2" s="7" t="str">
        <f t="shared" si="1"/>
        <v>AAAA</v>
      </c>
      <c r="E2" s="7" t="str">
        <f t="shared" si="1"/>
        <v>AAAA</v>
      </c>
      <c r="F2" s="7" t="str">
        <f t="shared" si="1"/>
        <v>AAAA</v>
      </c>
      <c r="G2" s="7" t="str">
        <f t="shared" si="1"/>
        <v>AAAA</v>
      </c>
      <c r="H2" s="7" t="str">
        <f t="shared" si="1"/>
        <v>AAAA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1">
        <f t="array" ref="B3:H3">요일및주+DATE(달력연도,11,1)-WEEKDAY(DATE(달력연도,11,1),(주시작="Monday")+1)+1</f>
        <v>46327</v>
      </c>
      <c r="C3" s="11">
        <v>46328.0</v>
      </c>
      <c r="D3" s="11">
        <v>46329.0</v>
      </c>
      <c r="E3" s="11">
        <v>46330.0</v>
      </c>
      <c r="F3" s="11">
        <v>46331.0</v>
      </c>
      <c r="G3" s="11">
        <v>46332.0</v>
      </c>
      <c r="H3" s="11">
        <v>46333.0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7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6">
        <f t="array" ref="B5:H5">요일및주+DATE(달력연도,11,1)-WEEKDAY(DATE(달력연도,11,1),(주시작="Monday")+1)+8</f>
        <v>46334</v>
      </c>
      <c r="C5" s="26">
        <v>46335.0</v>
      </c>
      <c r="D5" s="26">
        <v>46336.0</v>
      </c>
      <c r="E5" s="26">
        <v>46337.0</v>
      </c>
      <c r="F5" s="26">
        <v>46338.0</v>
      </c>
      <c r="G5" s="26">
        <v>46339.0</v>
      </c>
      <c r="H5" s="26">
        <v>46340.0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7.75" customHeight="1">
      <c r="A6" s="1"/>
      <c r="B6" s="15"/>
      <c r="C6" s="15"/>
      <c r="D6" s="15"/>
      <c r="E6" s="15"/>
      <c r="F6" s="15"/>
      <c r="G6" s="15"/>
      <c r="H6" s="1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1">
        <f t="array" ref="B7:H7">요일및주+DATE(달력연도,11,1)-WEEKDAY(DATE(달력연도,11,1),(주시작="Monday")+1)+15</f>
        <v>46341</v>
      </c>
      <c r="C7" s="11">
        <v>46342.0</v>
      </c>
      <c r="D7" s="11">
        <v>46343.0</v>
      </c>
      <c r="E7" s="11">
        <v>46344.0</v>
      </c>
      <c r="F7" s="11">
        <v>46345.0</v>
      </c>
      <c r="G7" s="11">
        <v>46346.0</v>
      </c>
      <c r="H7" s="11">
        <v>46347.0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7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26">
        <f t="array" ref="B9:H9">요일및주+DATE(달력연도,11,1)-WEEKDAY(DATE(달력연도,11,1),(주시작="Monday")+1)+22</f>
        <v>46348</v>
      </c>
      <c r="C9" s="26">
        <v>46349.0</v>
      </c>
      <c r="D9" s="26">
        <v>46350.0</v>
      </c>
      <c r="E9" s="26">
        <v>46351.0</v>
      </c>
      <c r="F9" s="26">
        <v>46352.0</v>
      </c>
      <c r="G9" s="26">
        <v>46353.0</v>
      </c>
      <c r="H9" s="26">
        <v>46354.0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7.75" customHeight="1">
      <c r="A10" s="1"/>
      <c r="B10" s="15"/>
      <c r="C10" s="15"/>
      <c r="D10" s="15"/>
      <c r="E10" s="15"/>
      <c r="F10" s="15"/>
      <c r="G10" s="15"/>
      <c r="H10" s="1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1">
        <f t="array" ref="B11:H11">요일및주+DATE(달력연도,11,1)-WEEKDAY(DATE(달력연도,11,1),(주시작="Monday")+1)+29</f>
        <v>46355</v>
      </c>
      <c r="C11" s="11">
        <v>46356.0</v>
      </c>
      <c r="D11" s="11">
        <v>46357.0</v>
      </c>
      <c r="E11" s="11">
        <v>46358.0</v>
      </c>
      <c r="F11" s="11">
        <v>46359.0</v>
      </c>
      <c r="G11" s="11">
        <v>46360.0</v>
      </c>
      <c r="H11" s="11">
        <v>46361.0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7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26">
        <f t="array" ref="B13:C13">요일및주+DATE(달력연도,11,1)-WEEKDAY(DATE(달력연도,11,1),(주시작="Monday")+1)+36</f>
        <v>46362</v>
      </c>
      <c r="C13" s="26">
        <v>46363.0</v>
      </c>
      <c r="D13" s="17" t="s">
        <v>4</v>
      </c>
      <c r="E13" s="18"/>
      <c r="F13" s="19"/>
      <c r="G13" s="19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7.75" customHeight="1">
      <c r="A14" s="1"/>
      <c r="B14" s="15"/>
      <c r="C14" s="15"/>
      <c r="D14" s="21"/>
      <c r="E14" s="22"/>
      <c r="F14" s="23"/>
      <c r="G14" s="23"/>
      <c r="H14" s="2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D13:D14"/>
    <mergeCell ref="E13:H14"/>
  </mergeCells>
  <conditionalFormatting sqref="B11:H11 B13:C13">
    <cfRule type="expression" dxfId="0" priority="1">
      <formula>AND(DAY(B11)&gt;=1,DAY(B11)&lt;=15)</formula>
    </cfRule>
  </conditionalFormatting>
  <conditionalFormatting sqref="B3:G3">
    <cfRule type="expression" dxfId="0" priority="2">
      <formula>DAY(B3)&gt;8</formula>
    </cfRule>
  </conditionalFormatting>
  <printOptions horizontalCentered="1" verticalCentered="1"/>
  <pageMargins bottom="0.75" footer="0.0" header="0.0" left="0.7" right="0.7" top="0.75"/>
  <pageSetup paperSize="9" orientation="landscape"/>
  <headerFooter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pageSetUpPr fitToPage="1"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6.0"/>
    <col customWidth="1" min="3" max="8" width="15.38"/>
    <col customWidth="1" min="9" max="26" width="7.63"/>
  </cols>
  <sheetData>
    <row r="1" ht="59.25" customHeight="1">
      <c r="A1" s="1"/>
      <c r="B1" s="3" t="str">
        <f>"12월 "&amp;달력연도</f>
        <v>12월 2026</v>
      </c>
      <c r="C1" s="3"/>
      <c r="D1" s="3"/>
      <c r="E1" s="4"/>
      <c r="F1" s="4"/>
      <c r="G1" s="4"/>
      <c r="H1" s="2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7" t="str">
        <f>IF(주시작="일요일", "일요일","월요일")</f>
        <v>일요일</v>
      </c>
      <c r="C2" s="7" t="str">
        <f t="shared" ref="C2:H2" si="1">UPPER(TEXT(C3,"aaaa"))</f>
        <v>AAAA</v>
      </c>
      <c r="D2" s="7" t="str">
        <f t="shared" si="1"/>
        <v>AAAA</v>
      </c>
      <c r="E2" s="7" t="str">
        <f t="shared" si="1"/>
        <v>AAAA</v>
      </c>
      <c r="F2" s="7" t="str">
        <f t="shared" si="1"/>
        <v>AAAA</v>
      </c>
      <c r="G2" s="7" t="str">
        <f t="shared" si="1"/>
        <v>AAAA</v>
      </c>
      <c r="H2" s="7" t="str">
        <f t="shared" si="1"/>
        <v>AAAA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1">
        <f t="array" ref="B3:H3">요일및주+DATE(달력연도,12,1)-WEEKDAY(DATE(달력연도,12,1),(주시작="Monday")+1)+1</f>
        <v>46355</v>
      </c>
      <c r="C3" s="11">
        <v>46356.0</v>
      </c>
      <c r="D3" s="11">
        <v>46357.0</v>
      </c>
      <c r="E3" s="11">
        <v>46358.0</v>
      </c>
      <c r="F3" s="11">
        <v>46359.0</v>
      </c>
      <c r="G3" s="11">
        <v>46360.0</v>
      </c>
      <c r="H3" s="11">
        <v>46361.0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7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6">
        <f t="array" ref="B5:H5">요일및주+DATE(달력연도,12,1)-WEEKDAY(DATE(달력연도,12,1),(주시작="Monday")+1)+8</f>
        <v>46362</v>
      </c>
      <c r="C5" s="26">
        <v>46363.0</v>
      </c>
      <c r="D5" s="26">
        <v>46364.0</v>
      </c>
      <c r="E5" s="26">
        <v>46365.0</v>
      </c>
      <c r="F5" s="26">
        <v>46366.0</v>
      </c>
      <c r="G5" s="26">
        <v>46367.0</v>
      </c>
      <c r="H5" s="26">
        <v>46368.0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7.75" customHeight="1">
      <c r="A6" s="1"/>
      <c r="B6" s="15"/>
      <c r="C6" s="15"/>
      <c r="D6" s="15"/>
      <c r="E6" s="15"/>
      <c r="F6" s="15"/>
      <c r="G6" s="15"/>
      <c r="H6" s="1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1">
        <f t="array" ref="B7:H7">요일및주+DATE(달력연도,12,1)-WEEKDAY(DATE(달력연도,12,1),(주시작="Monday")+1)+15</f>
        <v>46369</v>
      </c>
      <c r="C7" s="11">
        <v>46370.0</v>
      </c>
      <c r="D7" s="11">
        <v>46371.0</v>
      </c>
      <c r="E7" s="11">
        <v>46372.0</v>
      </c>
      <c r="F7" s="11">
        <v>46373.0</v>
      </c>
      <c r="G7" s="11">
        <v>46374.0</v>
      </c>
      <c r="H7" s="11">
        <v>46375.0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7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26">
        <f t="array" ref="B9:H9">요일및주+DATE(달력연도,12,1)-WEEKDAY(DATE(달력연도,12,1),(주시작="Monday")+1)+22</f>
        <v>46376</v>
      </c>
      <c r="C9" s="26">
        <v>46377.0</v>
      </c>
      <c r="D9" s="26">
        <v>46378.0</v>
      </c>
      <c r="E9" s="26">
        <v>46379.0</v>
      </c>
      <c r="F9" s="26">
        <v>46380.0</v>
      </c>
      <c r="G9" s="26">
        <v>46381.0</v>
      </c>
      <c r="H9" s="26">
        <v>46382.0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7.75" customHeight="1">
      <c r="A10" s="1"/>
      <c r="B10" s="15"/>
      <c r="C10" s="15"/>
      <c r="D10" s="15"/>
      <c r="E10" s="15"/>
      <c r="F10" s="15"/>
      <c r="G10" s="15"/>
      <c r="H10" s="1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1">
        <f t="array" ref="B11:H11">요일및주+DATE(달력연도,12,1)-WEEKDAY(DATE(달력연도,12,1),(주시작="Monday")+1)+29</f>
        <v>46383</v>
      </c>
      <c r="C11" s="11">
        <v>46384.0</v>
      </c>
      <c r="D11" s="11">
        <v>46385.0</v>
      </c>
      <c r="E11" s="11">
        <v>46386.0</v>
      </c>
      <c r="F11" s="11">
        <v>46387.0</v>
      </c>
      <c r="G11" s="11">
        <v>46388.0</v>
      </c>
      <c r="H11" s="11">
        <v>46389.0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7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26">
        <f t="array" ref="B13:C13">요일및주+DATE(달력연도,12,1)-WEEKDAY(DATE(달력연도,12,1),(주시작="Monday")+1)+36</f>
        <v>46390</v>
      </c>
      <c r="C13" s="26">
        <v>46391.0</v>
      </c>
      <c r="D13" s="17" t="s">
        <v>4</v>
      </c>
      <c r="E13" s="18"/>
      <c r="F13" s="19"/>
      <c r="G13" s="19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7.75" customHeight="1">
      <c r="A14" s="1"/>
      <c r="B14" s="15"/>
      <c r="C14" s="15"/>
      <c r="D14" s="21"/>
      <c r="E14" s="22"/>
      <c r="F14" s="23"/>
      <c r="G14" s="23"/>
      <c r="H14" s="2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D13:D14"/>
    <mergeCell ref="E13:H14"/>
  </mergeCells>
  <conditionalFormatting sqref="B11:H11 B13:C13">
    <cfRule type="expression" dxfId="0" priority="1">
      <formula>AND(DAY(B11)&gt;=1,DAY(B11)&lt;=15)</formula>
    </cfRule>
  </conditionalFormatting>
  <conditionalFormatting sqref="B3:G3">
    <cfRule type="expression" dxfId="0" priority="2">
      <formula>DAY(B3)&gt;8</formula>
    </cfRule>
  </conditionalFormatting>
  <printOptions horizontalCentered="1" verticalCentered="1"/>
  <pageMargins bottom="0.75" footer="0.0" header="0.0" left="0.7" right="0.7" top="0.75"/>
  <pageSetup paperSize="9" orientation="landscape"/>
  <headerFooter>
    <oddFooter/>
  </headerFooter>
  <drawing r:id="rId1"/>
</worksheet>
</file>